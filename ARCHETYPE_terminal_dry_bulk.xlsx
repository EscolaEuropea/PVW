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<sst xmlns="http://schemas.openxmlformats.org/spreadsheetml/2006/main" count="1032" uniqueCount="267">
  <si>
    <t xml:space="preserve">PVW.one ARCHETYPE — Dry Bulk Terminal</t>
  </si>
  <si>
    <t xml:space="preserve">archetype_id: terminal_dry_bulk · version: 1.0.0 · category: Terminal</t>
  </si>
  <si>
    <t xml:space="preserve">ARCHETYPE METADATA</t>
  </si>
  <si>
    <t xml:space="preserve">archetype_id</t>
  </si>
  <si>
    <t xml:space="preserve">terminal_dry_bulk</t>
  </si>
  <si>
    <t xml:space="preserve">archetype_name</t>
  </si>
  <si>
    <t xml:space="preserve">Dry Bulk Terminal</t>
  </si>
  <si>
    <t xml:space="preserve">archetype_category</t>
  </si>
  <si>
    <t xml:space="preserve">Terminal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</si>
  <si>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</si>
  <si>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</si>
  <si>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</si>
  <si>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</si>
  <si>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</si>
  <si>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archetype_terminal_dry_bulk.schema.json</t>
  </si>
  <si>
    <t xml:space="preserve">DEFINITION</t>
  </si>
  <si>
    <t xml:space="preserve">A Dry Bulk Terminal handles unpackaged dry commodities loaded/unloaded by gravity, conveyor, or grab. Major flows: grains/agribulk, coal, iron ore, minerals, fertilisers, cement. Storage in silos (agribulk) or open stockpiles (mineral). Often integrated with rail or pipeline conveyor to inland processors.</t>
  </si>
  <si>
    <t xml:space="preserve">SIZE TIERS (the 3 default profiles)</t>
  </si>
  <si>
    <t xml:space="preserve">S — Small</t>
  </si>
  <si>
    <t xml:space="preserve">≤ 500 000 t/year · 1 berth · single commodity</t>
  </si>
  <si>
    <t xml:space="preserve">M — Medium</t>
  </si>
  <si>
    <t xml:space="preserve">500 000 – 3 000 000 t/year · 1-2 berths · 2-3 commodities</t>
  </si>
  <si>
    <t xml:space="preserve">L — Large</t>
  </si>
  <si>
    <t xml:space="preserve">≥ 3 000 000 t/year · 2-3 berths · multi-commodity, deep-water, multimodal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</si>
  <si>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</si>
  <si>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</si>
  <si>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</si>
  <si>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</si>
  <si>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</si>
  <si>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</si>
  <si>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</si>
  <si>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</si>
  <si>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</si>
  <si>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</si>
  <si>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</si>
  <si>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</si>
  <si>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</si>
  <si>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</si>
  <si>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</si>
  <si>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</si>
  <si>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</si>
  <si>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</si>
  <si>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</si>
  <si>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</si>
  <si>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</si>
  <si>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</si>
  <si>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</si>
  <si>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</si>
  <si>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</si>
  <si>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</si>
  <si>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</si>
  <si>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</si>
  <si>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</si>
  <si>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</si>
  <si>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</si>
  <si>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</si>
  <si>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</si>
  <si>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</si>
  <si>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</si>
  <si>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</si>
  <si>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</si>
  <si>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</si>
  <si>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</si>
  <si>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</si>
  <si>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</si>
  <si>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</si>
  <si>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</si>
  <si>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</si>
  <si>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</si>
  <si>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</si>
  <si>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</si>
  <si>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</si>
  <si>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</si>
  <si>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</si>
  <si>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</si>
  <si>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</si>
  <si>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</si>
  <si>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</si>
  <si>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</si>
  <si>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</si>
  <si>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</si>
  <si>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</si>
  <si>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</si>
  <si>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</si>
  <si>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</si>
  <si>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t/year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</si>
  <si>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</si>
  <si>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</si>
  <si>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</si>
  <si>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</si>
  <si>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</si>
  <si>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</si>
  <si>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</si>
  <si>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</si>
  <si>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</si>
  <si>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</si>
  <si>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</si>
  <si>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</si>
  <si>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</si>
  <si>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</si>
  <si>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</si>
  <si>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</si>
  <si>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</si>
  <si>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</si>
  <si>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</si>
  <si>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</si>
  <si>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</si>
  <si>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</si>
  <si>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</si>
  <si>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</si>
  <si>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</si>
  <si>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</si>
  <si>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</si>
  <si>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primary_commodity</t>
  </si>
  <si>
    <t xml:space="preserve">Primary commodity</t>
  </si>
  <si>
    <t xml:space="preserve">grain</t>
  </si>
  <si>
    <t xml:space="preserve">grain+fertiliser</t>
  </si>
  <si>
    <t xml:space="preserve">grain+coal+iron ore</t>
  </si>
  <si>
    <t xml:space="preserve">grain / coal / iron ore / cement / fertiliser / mineral / etc.</t>
  </si>
  <si>
    <t xml:space="preserve">silo_capacity_t</t>
  </si>
  <si>
    <t xml:space="preserve">Silo storage capacity</t>
  </si>
  <si>
    <t xml:space="preserve">t</t>
  </si>
  <si>
    <t xml:space="preserve">For agribulk</t>
  </si>
  <si>
    <t xml:space="preserve">open_stockpile_capacity_t</t>
  </si>
  <si>
    <t xml:space="preserve">Open stockpile capacity</t>
  </si>
  <si>
    <t xml:space="preserve">For mineral, coal</t>
  </si>
  <si>
    <t xml:space="preserve">warehouse_capacity_t</t>
  </si>
  <si>
    <t xml:space="preserve">Covered warehouse capacity</t>
  </si>
  <si>
    <t xml:space="preserve">Equipment — Schema &amp; defaults</t>
  </si>
  <si>
    <t xml:space="preserve">Physical assets and operational capacity.</t>
  </si>
  <si>
    <t xml:space="preserve">quay_length_m</t>
  </si>
  <si>
    <t xml:space="preserve">Quay length</t>
  </si>
  <si>
    <t xml:space="preserve">m</t>
  </si>
  <si>
    <t xml:space="preserve">quay_max_draft_m</t>
  </si>
  <si>
    <t xml:space="preserve">Maximum quay draft</t>
  </si>
  <si>
    <t xml:space="preserve">Capesize requires ≥17m</t>
  </si>
  <si>
    <t xml:space="preserve">number_of_berths</t>
  </si>
  <si>
    <t xml:space="preserve">Number of berths</t>
  </si>
  <si>
    <t xml:space="preserve">berths</t>
  </si>
  <si>
    <t xml:space="preserve">max_loa_m</t>
  </si>
  <si>
    <t xml:space="preserve">Maximum vessel LOA</t>
  </si>
  <si>
    <t xml:space="preserve">ship_loaders_qty</t>
  </si>
  <si>
    <t xml:space="preserve">Ship loaders</t>
  </si>
  <si>
    <t xml:space="preserve">loaders</t>
  </si>
  <si>
    <t xml:space="preserve">For exports</t>
  </si>
  <si>
    <t xml:space="preserve">ship_unloaders_qty</t>
  </si>
  <si>
    <t xml:space="preserve">Ship unloaders (continuous or grab)</t>
  </si>
  <si>
    <t xml:space="preserve">unloaders</t>
  </si>
  <si>
    <t xml:space="preserve">loading_rate_tph</t>
  </si>
  <si>
    <t xml:space="preserve">Loading rate</t>
  </si>
  <si>
    <t xml:space="preserve">t/h</t>
  </si>
  <si>
    <t xml:space="preserve">unloading_rate_tph</t>
  </si>
  <si>
    <t xml:space="preserve">Unloading rate</t>
  </si>
  <si>
    <t xml:space="preserve">conveyor_total_length_m</t>
  </si>
  <si>
    <t xml:space="preserve">Total conveyor system length</t>
  </si>
  <si>
    <t xml:space="preserve">hopper_qty</t>
  </si>
  <si>
    <t xml:space="preserve">Loading hoppers (truck/rail)</t>
  </si>
  <si>
    <t xml:space="preserve">hoppers</t>
  </si>
  <si>
    <t xml:space="preserve">on_dock_rail</t>
  </si>
  <si>
    <t xml:space="preserve">On-dock rail siding</t>
  </si>
  <si>
    <t xml:space="preserve">rail_tracks_qty</t>
  </si>
  <si>
    <t xml:space="preserve">Rail tracks</t>
  </si>
  <si>
    <t xml:space="preserve">tracks</t>
  </si>
  <si>
    <t xml:space="preserve">dust_suppression_system</t>
  </si>
  <si>
    <t xml:space="preserve">Dust suppression system</t>
  </si>
  <si>
    <t xml:space="preserve">Mandatory environmental</t>
  </si>
  <si>
    <t xml:space="preserve">ops_hours_per_day</t>
  </si>
  <si>
    <t xml:space="preserve">Operating hours per day</t>
  </si>
  <si>
    <t xml:space="preserve">h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</si>
  <si>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</si>
  <si>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</si>
  <si>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</si>
  <si>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</si>
  <si>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</si>
  <si>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</si>
  <si>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</si>
  <si>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</si>
  <si>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commodity_trader</t>
  </si>
  <si>
    <t xml:space="preserve">Commodity trader</t>
  </si>
  <si>
    <t xml:space="preserve">inbound+outbound</t>
  </si>
  <si>
    <t xml:space="preserve">weekly</t>
  </si>
  <si>
    <t xml:space="preserve">2-5</t>
  </si>
  <si>
    <t xml:space="preserve">5-15</t>
  </si>
  <si>
    <t xml:space="preserve">15+</t>
  </si>
  <si>
    <t xml:space="preserve">Cargill, Bunge, ADM, Glencore, etc.</t>
  </si>
  <si>
    <t xml:space="preserve">dry_bulk_shipping_line</t>
  </si>
  <si>
    <t xml:space="preserve">Dry bulk shipping operator</t>
  </si>
  <si>
    <t xml:space="preserve">5-10</t>
  </si>
  <si>
    <t xml:space="preserve">15-30</t>
  </si>
  <si>
    <t xml:space="preserve">30+</t>
  </si>
  <si>
    <t xml:space="preserve">inland_processor</t>
  </si>
  <si>
    <t xml:space="preserve">Inland processor / mill / power plant</t>
  </si>
  <si>
    <t xml:space="preserve">outbound</t>
  </si>
  <si>
    <t xml:space="preserve">1-3</t>
  </si>
  <si>
    <t xml:space="preserve">3-8</t>
  </si>
  <si>
    <t xml:space="preserve">8-20</t>
  </si>
  <si>
    <t xml:space="preserve">rail_operator_freight</t>
  </si>
  <si>
    <t xml:space="preserve">Rail operator (bulk freight)</t>
  </si>
  <si>
    <t xml:space="preserve">daily</t>
  </si>
  <si>
    <t xml:space="preserve">0-1</t>
  </si>
  <si>
    <t xml:space="preserve">1-2</t>
  </si>
  <si>
    <t xml:space="preserve">2-4</t>
  </si>
  <si>
    <t xml:space="preserve">road_haulier_bulk</t>
  </si>
  <si>
    <t xml:space="preserve">Bulk road haulage</t>
  </si>
  <si>
    <t xml:space="preserve">continuous</t>
  </si>
  <si>
    <t xml:space="preserve">10-30</t>
  </si>
  <si>
    <t xml:space="preserve">30-80</t>
  </si>
  <si>
    <t xml:space="preserve">100+</t>
  </si>
  <si>
    <t xml:space="preserve">stevedoring_company</t>
  </si>
  <si>
    <t xml:space="preserve">Stevedoring company</t>
  </si>
  <si>
    <t xml:space="preserve">service</t>
  </si>
  <si>
    <t xml:space="preserve">1</t>
  </si>
  <si>
    <t xml:space="preserve">2-3</t>
  </si>
  <si>
    <t xml:space="preserve">port_authority</t>
  </si>
  <si>
    <t xml:space="preserve">Port authority</t>
  </si>
  <si>
    <t xml:space="preserve">regulator</t>
  </si>
  <si>
    <t xml:space="preserve">Concession granter</t>
  </si>
  <si>
    <t xml:space="preserve">customs</t>
  </si>
  <si>
    <t xml:space="preserve">Customs authority</t>
  </si>
  <si>
    <t xml:space="preserve">per shipment</t>
  </si>
  <si>
    <t xml:space="preserve">pcs_operator</t>
  </si>
  <si>
    <t xml:space="preserve">Port Community System (PCS)</t>
  </si>
  <si>
    <t xml:space="preserve">digital</t>
  </si>
  <si>
    <t xml:space="preserve">Portic / Uniport / etc.</t>
  </si>
  <si>
    <t xml:space="preserve">pilotage_operator</t>
  </si>
  <si>
    <t xml:space="preserve">Pilotage service</t>
  </si>
  <si>
    <t xml:space="preserve">per call</t>
  </si>
  <si>
    <t xml:space="preserve">towage_operator</t>
  </si>
  <si>
    <t xml:space="preserve">Towage service</t>
  </si>
  <si>
    <t xml:space="preserve">mooring_operator</t>
  </si>
  <si>
    <t xml:space="preserve">Mooring service</t>
  </si>
  <si>
    <t xml:space="preserve">marpol_operator</t>
  </si>
  <si>
    <t xml:space="preserve">Port reception facility (MARPOL)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</si>
  <si>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</si>
  <si>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</si>
  <si>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</si>
  <si>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</si>
  <si>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</si>
  <si>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</si>
  <si>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</si>
  <si>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</si>
  <si>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</si>
  <si>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(loaders, unloaders, conveyors)</t>
  </si>
  <si>
    <t xml:space="preserve">scope_2</t>
  </si>
  <si>
    <t xml:space="preserve">BAU</t>
  </si>
  <si>
    <t xml:space="preserve">FuelEU+AFIR</t>
  </si>
  <si>
    <t xml:space="preserve">Accelerated</t>
  </si>
  <si>
    <t xml:space="preserve">yard_diesel</t>
  </si>
  <si>
    <t xml:space="preserve">Yard equipment diesel (front loaders, dozers)</t>
  </si>
  <si>
    <t xml:space="preserve">scope_1</t>
  </si>
  <si>
    <t xml:space="preserve">dust_emissions</t>
  </si>
  <si>
    <t xml:space="preserve">Fugitive dust (PM10/2.5; CO2e equivalent small but reported)</t>
  </si>
  <si>
    <t xml:space="preserve">vessels_at_berth_emissions</t>
  </si>
  <si>
    <t xml:space="preserve">Vessels at berth (attributed)</t>
  </si>
  <si>
    <t xml:space="preserve">scope_3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</si>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</sst>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35.0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1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300000</v>
      </c>
      <c r="F17" s="9" t="n">
        <v>1500000</v>
      </c>
      <c r="G17" s="10" t="n">
        <v>5000000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23.85" hidden="false" customHeight="false" outlineLevel="0" collapsed="false">
      <c r="A26" s="7" t="s">
        <v>113</v>
      </c>
      <c r="B26" s="7" t="s">
        <v>114</v>
      </c>
      <c r="C26" s="7" t="s">
        <v>45</v>
      </c>
      <c r="D26" s="7" t="s">
        <v>55</v>
      </c>
      <c r="E26" s="8" t="s">
        <v>115</v>
      </c>
      <c r="F26" s="9" t="s">
        <v>116</v>
      </c>
      <c r="G26" s="10" t="s">
        <v>117</v>
      </c>
      <c r="H26" s="7" t="s">
        <v>118</v>
      </c>
    </row>
    <row r="27" customFormat="false" ht="15" hidden="false" customHeight="false" outlineLevel="0" collapsed="false">
      <c r="A27" s="7" t="s">
        <v>119</v>
      </c>
      <c r="B27" s="7" t="s">
        <v>120</v>
      </c>
      <c r="C27" s="7" t="s">
        <v>121</v>
      </c>
      <c r="D27" s="7" t="s">
        <v>71</v>
      </c>
      <c r="E27" s="8" t="n">
        <v>30000</v>
      </c>
      <c r="F27" s="9" t="n">
        <v>150000</v>
      </c>
      <c r="G27" s="10" t="n">
        <v>500000</v>
      </c>
      <c r="H27" s="7" t="s">
        <v>122</v>
      </c>
    </row>
    <row r="28" customFormat="false" ht="15" hidden="false" customHeight="false" outlineLevel="0" collapsed="false">
      <c r="A28" s="7" t="s">
        <v>123</v>
      </c>
      <c r="B28" s="7" t="s">
        <v>124</v>
      </c>
      <c r="C28" s="7" t="s">
        <v>121</v>
      </c>
      <c r="D28" s="7" t="s">
        <v>71</v>
      </c>
      <c r="E28" s="8" t="n">
        <v>0</v>
      </c>
      <c r="F28" s="9" t="n">
        <v>200000</v>
      </c>
      <c r="G28" s="10" t="n">
        <v>1500000</v>
      </c>
      <c r="H28" s="7" t="s">
        <v>125</v>
      </c>
    </row>
    <row r="29" customFormat="false" ht="15" hidden="false" customHeight="false" outlineLevel="0" collapsed="false">
      <c r="A29" s="7" t="s">
        <v>126</v>
      </c>
      <c r="B29" s="7" t="s">
        <v>127</v>
      </c>
      <c r="C29" s="7" t="s">
        <v>121</v>
      </c>
      <c r="D29" s="7" t="s">
        <v>71</v>
      </c>
      <c r="E29" s="8" t="n">
        <v>5000</v>
      </c>
      <c r="F29" s="9" t="n">
        <v>30000</v>
      </c>
      <c r="G29" s="10" t="n">
        <v>100000</v>
      </c>
      <c r="H2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130</v>
      </c>
      <c r="B5" s="7" t="s">
        <v>131</v>
      </c>
      <c r="C5" s="7" t="s">
        <v>132</v>
      </c>
      <c r="D5" s="7" t="s">
        <v>71</v>
      </c>
      <c r="E5" s="8" t="n">
        <v>200</v>
      </c>
      <c r="F5" s="9" t="n">
        <v>350</v>
      </c>
      <c r="G5" s="10" t="n">
        <v>700</v>
      </c>
      <c r="H5" s="7"/>
    </row>
    <row r="6" customFormat="false" ht="15" hidden="false" customHeight="false" outlineLevel="0" collapsed="false">
      <c r="A6" s="7" t="s">
        <v>133</v>
      </c>
      <c r="B6" s="7" t="s">
        <v>134</v>
      </c>
      <c r="C6" s="7" t="s">
        <v>132</v>
      </c>
      <c r="D6" s="7" t="s">
        <v>64</v>
      </c>
      <c r="E6" s="8" t="n">
        <v>11</v>
      </c>
      <c r="F6" s="9" t="n">
        <v>14</v>
      </c>
      <c r="G6" s="10" t="n">
        <v>18</v>
      </c>
      <c r="H6" s="7" t="s">
        <v>135</v>
      </c>
    </row>
    <row r="7" customFormat="false" ht="15" hidden="false" customHeight="false" outlineLevel="0" collapsed="false">
      <c r="A7" s="7" t="s">
        <v>136</v>
      </c>
      <c r="B7" s="7" t="s">
        <v>137</v>
      </c>
      <c r="C7" s="7" t="s">
        <v>138</v>
      </c>
      <c r="D7" s="7" t="s">
        <v>71</v>
      </c>
      <c r="E7" s="8" t="n">
        <v>1</v>
      </c>
      <c r="F7" s="9" t="n">
        <v>2</v>
      </c>
      <c r="G7" s="10" t="n">
        <v>3</v>
      </c>
      <c r="H7" s="7"/>
    </row>
    <row r="8" customFormat="false" ht="15" hidden="false" customHeight="false" outlineLevel="0" collapsed="false">
      <c r="A8" s="7" t="s">
        <v>139</v>
      </c>
      <c r="B8" s="7" t="s">
        <v>140</v>
      </c>
      <c r="C8" s="7" t="s">
        <v>132</v>
      </c>
      <c r="D8" s="7" t="s">
        <v>71</v>
      </c>
      <c r="E8" s="8" t="n">
        <v>240</v>
      </c>
      <c r="F8" s="9" t="n">
        <v>290</v>
      </c>
      <c r="G8" s="10" t="n">
        <v>320</v>
      </c>
      <c r="H8" s="7"/>
    </row>
    <row r="9" customFormat="false" ht="15" hidden="false" customHeight="false" outlineLevel="0" collapsed="false">
      <c r="A9" s="7" t="s">
        <v>141</v>
      </c>
      <c r="B9" s="7" t="s">
        <v>142</v>
      </c>
      <c r="C9" s="7" t="s">
        <v>143</v>
      </c>
      <c r="D9" s="7" t="s">
        <v>71</v>
      </c>
      <c r="E9" s="8" t="n">
        <v>1</v>
      </c>
      <c r="F9" s="9" t="n">
        <v>2</v>
      </c>
      <c r="G9" s="10" t="n">
        <v>4</v>
      </c>
      <c r="H9" s="7" t="s">
        <v>144</v>
      </c>
    </row>
    <row r="10" customFormat="false" ht="15" hidden="false" customHeight="false" outlineLevel="0" collapsed="false">
      <c r="A10" s="7" t="s">
        <v>145</v>
      </c>
      <c r="B10" s="7" t="s">
        <v>146</v>
      </c>
      <c r="C10" s="7" t="s">
        <v>147</v>
      </c>
      <c r="D10" s="7" t="s">
        <v>71</v>
      </c>
      <c r="E10" s="8" t="n">
        <v>1</v>
      </c>
      <c r="F10" s="9" t="n">
        <v>2</v>
      </c>
      <c r="G10" s="10" t="n">
        <v>4</v>
      </c>
      <c r="H10" s="7"/>
    </row>
    <row r="11" customFormat="false" ht="15" hidden="false" customHeight="false" outlineLevel="0" collapsed="false">
      <c r="A11" s="7" t="s">
        <v>148</v>
      </c>
      <c r="B11" s="7" t="s">
        <v>149</v>
      </c>
      <c r="C11" s="7" t="s">
        <v>150</v>
      </c>
      <c r="D11" s="7" t="s">
        <v>71</v>
      </c>
      <c r="E11" s="8" t="n">
        <v>1500</v>
      </c>
      <c r="F11" s="9" t="n">
        <v>4000</v>
      </c>
      <c r="G11" s="10" t="n">
        <v>8000</v>
      </c>
      <c r="H11" s="7"/>
    </row>
    <row r="12" customFormat="false" ht="15" hidden="false" customHeight="false" outlineLevel="0" collapsed="false">
      <c r="A12" s="7" t="s">
        <v>151</v>
      </c>
      <c r="B12" s="7" t="s">
        <v>152</v>
      </c>
      <c r="C12" s="7" t="s">
        <v>150</v>
      </c>
      <c r="D12" s="7" t="s">
        <v>71</v>
      </c>
      <c r="E12" s="8" t="n">
        <v>1000</v>
      </c>
      <c r="F12" s="9" t="n">
        <v>3000</v>
      </c>
      <c r="G12" s="10" t="n">
        <v>6000</v>
      </c>
      <c r="H12" s="7"/>
    </row>
    <row r="13" customFormat="false" ht="15" hidden="false" customHeight="false" outlineLevel="0" collapsed="false">
      <c r="A13" s="7" t="s">
        <v>153</v>
      </c>
      <c r="B13" s="7" t="s">
        <v>154</v>
      </c>
      <c r="C13" s="7" t="s">
        <v>132</v>
      </c>
      <c r="D13" s="7" t="s">
        <v>71</v>
      </c>
      <c r="E13" s="8" t="n">
        <v>500</v>
      </c>
      <c r="F13" s="9" t="n">
        <v>2500</v>
      </c>
      <c r="G13" s="10" t="n">
        <v>8000</v>
      </c>
      <c r="H13" s="7"/>
    </row>
    <row r="14" customFormat="false" ht="15" hidden="false" customHeight="false" outlineLevel="0" collapsed="false">
      <c r="A14" s="7" t="s">
        <v>155</v>
      </c>
      <c r="B14" s="7" t="s">
        <v>156</v>
      </c>
      <c r="C14" s="7" t="s">
        <v>157</v>
      </c>
      <c r="D14" s="7" t="s">
        <v>71</v>
      </c>
      <c r="E14" s="8" t="n">
        <v>2</v>
      </c>
      <c r="F14" s="9" t="n">
        <v>6</v>
      </c>
      <c r="G14" s="10" t="n">
        <v>14</v>
      </c>
      <c r="H14" s="7"/>
    </row>
    <row r="15" customFormat="false" ht="15" hidden="false" customHeight="false" outlineLevel="0" collapsed="false">
      <c r="A15" s="7" t="s">
        <v>158</v>
      </c>
      <c r="B15" s="7" t="s">
        <v>159</v>
      </c>
      <c r="C15" s="7" t="s">
        <v>95</v>
      </c>
      <c r="D15" s="7" t="s">
        <v>96</v>
      </c>
      <c r="E15" s="11" t="b">
        <f aca="false">FALSE()</f>
        <v>0</v>
      </c>
      <c r="F15" s="12" t="b">
        <f aca="false">TRUE()</f>
        <v>1</v>
      </c>
      <c r="G15" s="13" t="b">
        <f aca="false">TRUE()</f>
        <v>1</v>
      </c>
      <c r="H15" s="7"/>
    </row>
    <row r="16" customFormat="false" ht="15" hidden="false" customHeight="false" outlineLevel="0" collapsed="false">
      <c r="A16" s="7" t="s">
        <v>160</v>
      </c>
      <c r="B16" s="7" t="s">
        <v>161</v>
      </c>
      <c r="C16" s="7" t="s">
        <v>162</v>
      </c>
      <c r="D16" s="7" t="s">
        <v>71</v>
      </c>
      <c r="E16" s="8" t="n">
        <v>0</v>
      </c>
      <c r="F16" s="9" t="n">
        <v>2</v>
      </c>
      <c r="G16" s="10" t="n">
        <v>5</v>
      </c>
      <c r="H16" s="7"/>
    </row>
    <row r="17" customFormat="false" ht="15" hidden="false" customHeight="false" outlineLevel="0" collapsed="false">
      <c r="A17" s="7" t="s">
        <v>163</v>
      </c>
      <c r="B17" s="7" t="s">
        <v>164</v>
      </c>
      <c r="C17" s="7" t="s">
        <v>95</v>
      </c>
      <c r="D17" s="7" t="s">
        <v>96</v>
      </c>
      <c r="E17" s="11" t="b">
        <f aca="false">TRUE()</f>
        <v>1</v>
      </c>
      <c r="F17" s="12" t="b">
        <f aca="false">TRUE()</f>
        <v>1</v>
      </c>
      <c r="G17" s="13" t="b">
        <f aca="false">TRUE()</f>
        <v>1</v>
      </c>
      <c r="H17" s="7" t="s">
        <v>165</v>
      </c>
    </row>
    <row r="18" customFormat="false" ht="15" hidden="false" customHeight="false" outlineLevel="0" collapsed="false">
      <c r="A18" s="7" t="s">
        <v>166</v>
      </c>
      <c r="B18" s="7" t="s">
        <v>167</v>
      </c>
      <c r="C18" s="7" t="s">
        <v>168</v>
      </c>
      <c r="D18" s="7" t="s">
        <v>71</v>
      </c>
      <c r="E18" s="8" t="n">
        <v>16</v>
      </c>
      <c r="F18" s="9" t="n">
        <v>24</v>
      </c>
      <c r="G18" s="10" t="n">
        <v>24</v>
      </c>
      <c r="H18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171</v>
      </c>
      <c r="B4" s="6" t="s">
        <v>36</v>
      </c>
      <c r="C4" s="6" t="s">
        <v>172</v>
      </c>
      <c r="D4" s="6" t="s">
        <v>173</v>
      </c>
      <c r="E4" s="6" t="s">
        <v>174</v>
      </c>
      <c r="F4" s="6" t="s">
        <v>175</v>
      </c>
      <c r="G4" s="6" t="s">
        <v>176</v>
      </c>
      <c r="H4" s="6" t="s">
        <v>42</v>
      </c>
    </row>
    <row r="5" customFormat="false" ht="23.85" hidden="false" customHeight="false" outlineLevel="0" collapsed="false">
      <c r="A5" s="7" t="s">
        <v>177</v>
      </c>
      <c r="B5" s="7" t="s">
        <v>178</v>
      </c>
      <c r="C5" s="7" t="s">
        <v>179</v>
      </c>
      <c r="D5" s="7" t="s">
        <v>180</v>
      </c>
      <c r="E5" s="8" t="s">
        <v>181</v>
      </c>
      <c r="F5" s="9" t="s">
        <v>182</v>
      </c>
      <c r="G5" s="10" t="s">
        <v>183</v>
      </c>
      <c r="H5" s="7" t="s">
        <v>184</v>
      </c>
    </row>
    <row r="6" customFormat="false" ht="23.85" hidden="false" customHeight="false" outlineLevel="0" collapsed="false">
      <c r="A6" s="7" t="s">
        <v>185</v>
      </c>
      <c r="B6" s="7" t="s">
        <v>186</v>
      </c>
      <c r="C6" s="7" t="s">
        <v>179</v>
      </c>
      <c r="D6" s="7" t="s">
        <v>180</v>
      </c>
      <c r="E6" s="8" t="s">
        <v>187</v>
      </c>
      <c r="F6" s="9" t="s">
        <v>188</v>
      </c>
      <c r="G6" s="10" t="s">
        <v>189</v>
      </c>
      <c r="H6" s="7"/>
    </row>
    <row r="7" customFormat="false" ht="15" hidden="false" customHeight="false" outlineLevel="0" collapsed="false">
      <c r="A7" s="7" t="s">
        <v>190</v>
      </c>
      <c r="B7" s="7" t="s">
        <v>191</v>
      </c>
      <c r="C7" s="7" t="s">
        <v>192</v>
      </c>
      <c r="D7" s="7" t="s">
        <v>180</v>
      </c>
      <c r="E7" s="8" t="s">
        <v>193</v>
      </c>
      <c r="F7" s="9" t="s">
        <v>194</v>
      </c>
      <c r="G7" s="10" t="s">
        <v>195</v>
      </c>
      <c r="H7" s="7"/>
    </row>
    <row r="8" customFormat="false" ht="15" hidden="false" customHeight="false" outlineLevel="0" collapsed="false">
      <c r="A8" s="7" t="s">
        <v>196</v>
      </c>
      <c r="B8" s="7" t="s">
        <v>197</v>
      </c>
      <c r="C8" s="7" t="s">
        <v>192</v>
      </c>
      <c r="D8" s="7" t="s">
        <v>198</v>
      </c>
      <c r="E8" s="8" t="s">
        <v>199</v>
      </c>
      <c r="F8" s="9" t="s">
        <v>200</v>
      </c>
      <c r="G8" s="10" t="s">
        <v>201</v>
      </c>
      <c r="H8" s="7"/>
    </row>
    <row r="9" customFormat="false" ht="15" hidden="false" customHeight="false" outlineLevel="0" collapsed="false">
      <c r="A9" s="7" t="s">
        <v>202</v>
      </c>
      <c r="B9" s="7" t="s">
        <v>203</v>
      </c>
      <c r="C9" s="7" t="s">
        <v>192</v>
      </c>
      <c r="D9" s="7" t="s">
        <v>204</v>
      </c>
      <c r="E9" s="8" t="s">
        <v>205</v>
      </c>
      <c r="F9" s="9" t="s">
        <v>206</v>
      </c>
      <c r="G9" s="10" t="s">
        <v>207</v>
      </c>
      <c r="H9" s="7"/>
    </row>
    <row r="10" customFormat="false" ht="15" hidden="false" customHeight="false" outlineLevel="0" collapsed="false">
      <c r="A10" s="7" t="s">
        <v>208</v>
      </c>
      <c r="B10" s="7" t="s">
        <v>209</v>
      </c>
      <c r="C10" s="7" t="s">
        <v>210</v>
      </c>
      <c r="D10" s="7" t="s">
        <v>204</v>
      </c>
      <c r="E10" s="8" t="s">
        <v>211</v>
      </c>
      <c r="F10" s="9" t="s">
        <v>200</v>
      </c>
      <c r="G10" s="10" t="s">
        <v>212</v>
      </c>
      <c r="H10" s="7"/>
    </row>
    <row r="11" customFormat="false" ht="15" hidden="false" customHeight="false" outlineLevel="0" collapsed="false">
      <c r="A11" s="7" t="s">
        <v>213</v>
      </c>
      <c r="B11" s="7" t="s">
        <v>214</v>
      </c>
      <c r="C11" s="7" t="s">
        <v>215</v>
      </c>
      <c r="D11" s="7" t="s">
        <v>204</v>
      </c>
      <c r="E11" s="8" t="s">
        <v>211</v>
      </c>
      <c r="F11" s="9" t="s">
        <v>211</v>
      </c>
      <c r="G11" s="10" t="s">
        <v>211</v>
      </c>
      <c r="H11" s="7" t="s">
        <v>216</v>
      </c>
    </row>
    <row r="12" customFormat="false" ht="15" hidden="false" customHeight="false" outlineLevel="0" collapsed="false">
      <c r="A12" s="7" t="s">
        <v>217</v>
      </c>
      <c r="B12" s="7" t="s">
        <v>218</v>
      </c>
      <c r="C12" s="7" t="s">
        <v>215</v>
      </c>
      <c r="D12" s="7" t="s">
        <v>219</v>
      </c>
      <c r="E12" s="8" t="s">
        <v>211</v>
      </c>
      <c r="F12" s="9" t="s">
        <v>211</v>
      </c>
      <c r="G12" s="10" t="s">
        <v>211</v>
      </c>
      <c r="H12" s="7"/>
    </row>
    <row r="13" customFormat="false" ht="15" hidden="false" customHeight="false" outlineLevel="0" collapsed="false">
      <c r="A13" s="7" t="s">
        <v>220</v>
      </c>
      <c r="B13" s="7" t="s">
        <v>221</v>
      </c>
      <c r="C13" s="7" t="s">
        <v>222</v>
      </c>
      <c r="D13" s="7" t="s">
        <v>204</v>
      </c>
      <c r="E13" s="8" t="s">
        <v>211</v>
      </c>
      <c r="F13" s="9" t="s">
        <v>211</v>
      </c>
      <c r="G13" s="10" t="s">
        <v>211</v>
      </c>
      <c r="H13" s="7" t="s">
        <v>223</v>
      </c>
    </row>
    <row r="14" customFormat="false" ht="15" hidden="false" customHeight="false" outlineLevel="0" collapsed="false">
      <c r="A14" s="7" t="s">
        <v>224</v>
      </c>
      <c r="B14" s="7" t="s">
        <v>225</v>
      </c>
      <c r="C14" s="7" t="s">
        <v>210</v>
      </c>
      <c r="D14" s="7" t="s">
        <v>226</v>
      </c>
      <c r="E14" s="8" t="s">
        <v>211</v>
      </c>
      <c r="F14" s="9" t="s">
        <v>211</v>
      </c>
      <c r="G14" s="10" t="s">
        <v>211</v>
      </c>
      <c r="H14" s="7"/>
    </row>
    <row r="15" customFormat="false" ht="15" hidden="false" customHeight="false" outlineLevel="0" collapsed="false">
      <c r="A15" s="7" t="s">
        <v>227</v>
      </c>
      <c r="B15" s="7" t="s">
        <v>228</v>
      </c>
      <c r="C15" s="7" t="s">
        <v>210</v>
      </c>
      <c r="D15" s="7" t="s">
        <v>226</v>
      </c>
      <c r="E15" s="8" t="s">
        <v>211</v>
      </c>
      <c r="F15" s="9" t="s">
        <v>211</v>
      </c>
      <c r="G15" s="10" t="s">
        <v>211</v>
      </c>
      <c r="H15" s="7"/>
    </row>
    <row r="16" customFormat="false" ht="15" hidden="false" customHeight="false" outlineLevel="0" collapsed="false">
      <c r="A16" s="7" t="s">
        <v>229</v>
      </c>
      <c r="B16" s="7" t="s">
        <v>230</v>
      </c>
      <c r="C16" s="7" t="s">
        <v>210</v>
      </c>
      <c r="D16" s="7" t="s">
        <v>226</v>
      </c>
      <c r="E16" s="8" t="s">
        <v>211</v>
      </c>
      <c r="F16" s="9" t="s">
        <v>211</v>
      </c>
      <c r="G16" s="10" t="s">
        <v>211</v>
      </c>
      <c r="H16" s="7"/>
    </row>
    <row r="17" customFormat="false" ht="15" hidden="false" customHeight="false" outlineLevel="0" collapsed="false">
      <c r="A17" s="7" t="s">
        <v>231</v>
      </c>
      <c r="B17" s="7" t="s">
        <v>232</v>
      </c>
      <c r="C17" s="7" t="s">
        <v>210</v>
      </c>
      <c r="D17" s="7" t="s">
        <v>226</v>
      </c>
      <c r="E17" s="8" t="s">
        <v>211</v>
      </c>
      <c r="F17" s="9" t="s">
        <v>211</v>
      </c>
      <c r="G17" s="10" t="s">
        <v>211</v>
      </c>
      <c r="H17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235</v>
      </c>
      <c r="B4" s="6" t="s">
        <v>36</v>
      </c>
      <c r="C4" s="6" t="s">
        <v>236</v>
      </c>
      <c r="D4" s="6" t="s">
        <v>237</v>
      </c>
      <c r="E4" s="6" t="s">
        <v>70</v>
      </c>
      <c r="F4" s="6" t="s">
        <v>238</v>
      </c>
      <c r="G4" s="6" t="s">
        <v>239</v>
      </c>
      <c r="H4" s="6" t="s">
        <v>240</v>
      </c>
    </row>
    <row r="5" customFormat="false" ht="23.85" hidden="false" customHeight="false" outlineLevel="0" collapsed="false">
      <c r="A5" s="7" t="s">
        <v>241</v>
      </c>
      <c r="B5" s="7" t="s">
        <v>242</v>
      </c>
      <c r="C5" s="7" t="s">
        <v>243</v>
      </c>
      <c r="D5" s="7" t="s">
        <v>244</v>
      </c>
      <c r="E5" s="7" t="n">
        <v>2025</v>
      </c>
      <c r="F5" s="8" t="n">
        <v>750</v>
      </c>
      <c r="G5" s="9" t="n">
        <v>2500</v>
      </c>
      <c r="H5" s="10" t="n">
        <v>6250</v>
      </c>
    </row>
    <row r="6" customFormat="false" ht="23.85" hidden="false" customHeight="false" outlineLevel="0" collapsed="false">
      <c r="A6" s="7" t="s">
        <v>241</v>
      </c>
      <c r="B6" s="7" t="s">
        <v>242</v>
      </c>
      <c r="C6" s="7" t="s">
        <v>243</v>
      </c>
      <c r="D6" s="7" t="s">
        <v>244</v>
      </c>
      <c r="E6" s="7" t="n">
        <v>2026</v>
      </c>
      <c r="F6" s="8" t="n">
        <v>742</v>
      </c>
      <c r="G6" s="9" t="n">
        <v>2475</v>
      </c>
      <c r="H6" s="10" t="n">
        <v>6188</v>
      </c>
    </row>
    <row r="7" customFormat="false" ht="23.85" hidden="false" customHeight="false" outlineLevel="0" collapsed="false">
      <c r="A7" s="7" t="s">
        <v>241</v>
      </c>
      <c r="B7" s="7" t="s">
        <v>242</v>
      </c>
      <c r="C7" s="7" t="s">
        <v>243</v>
      </c>
      <c r="D7" s="7" t="s">
        <v>244</v>
      </c>
      <c r="E7" s="7" t="n">
        <v>2027</v>
      </c>
      <c r="F7" s="8" t="n">
        <v>735</v>
      </c>
      <c r="G7" s="9" t="n">
        <v>2450</v>
      </c>
      <c r="H7" s="10" t="n">
        <v>6125</v>
      </c>
    </row>
    <row r="8" customFormat="false" ht="23.85" hidden="false" customHeight="false" outlineLevel="0" collapsed="false">
      <c r="A8" s="7" t="s">
        <v>241</v>
      </c>
      <c r="B8" s="7" t="s">
        <v>242</v>
      </c>
      <c r="C8" s="7" t="s">
        <v>243</v>
      </c>
      <c r="D8" s="7" t="s">
        <v>244</v>
      </c>
      <c r="E8" s="7" t="n">
        <v>2028</v>
      </c>
      <c r="F8" s="8" t="n">
        <v>728</v>
      </c>
      <c r="G8" s="9" t="n">
        <v>2425</v>
      </c>
      <c r="H8" s="10" t="n">
        <v>6062</v>
      </c>
    </row>
    <row r="9" customFormat="false" ht="23.85" hidden="false" customHeight="false" outlineLevel="0" collapsed="false">
      <c r="A9" s="7" t="s">
        <v>241</v>
      </c>
      <c r="B9" s="7" t="s">
        <v>242</v>
      </c>
      <c r="C9" s="7" t="s">
        <v>243</v>
      </c>
      <c r="D9" s="7" t="s">
        <v>244</v>
      </c>
      <c r="E9" s="7" t="n">
        <v>2029</v>
      </c>
      <c r="F9" s="8" t="n">
        <v>720</v>
      </c>
      <c r="G9" s="9" t="n">
        <v>2400</v>
      </c>
      <c r="H9" s="10" t="n">
        <v>6000</v>
      </c>
    </row>
    <row r="10" customFormat="false" ht="23.85" hidden="false" customHeight="false" outlineLevel="0" collapsed="false">
      <c r="A10" s="7" t="s">
        <v>241</v>
      </c>
      <c r="B10" s="7" t="s">
        <v>242</v>
      </c>
      <c r="C10" s="7" t="s">
        <v>243</v>
      </c>
      <c r="D10" s="7" t="s">
        <v>244</v>
      </c>
      <c r="E10" s="7" t="n">
        <v>2030</v>
      </c>
      <c r="F10" s="8" t="n">
        <v>712</v>
      </c>
      <c r="G10" s="9" t="n">
        <v>2375</v>
      </c>
      <c r="H10" s="10" t="n">
        <v>5938</v>
      </c>
    </row>
    <row r="11" customFormat="false" ht="23.85" hidden="false" customHeight="false" outlineLevel="0" collapsed="false">
      <c r="A11" s="7" t="s">
        <v>241</v>
      </c>
      <c r="B11" s="7" t="s">
        <v>242</v>
      </c>
      <c r="C11" s="7" t="s">
        <v>243</v>
      </c>
      <c r="D11" s="7" t="s">
        <v>245</v>
      </c>
      <c r="E11" s="7" t="n">
        <v>2025</v>
      </c>
      <c r="F11" s="8" t="n">
        <v>750</v>
      </c>
      <c r="G11" s="9" t="n">
        <v>2500</v>
      </c>
      <c r="H11" s="10" t="n">
        <v>6250</v>
      </c>
    </row>
    <row r="12" customFormat="false" ht="23.85" hidden="false" customHeight="false" outlineLevel="0" collapsed="false">
      <c r="A12" s="7" t="s">
        <v>241</v>
      </c>
      <c r="B12" s="7" t="s">
        <v>242</v>
      </c>
      <c r="C12" s="7" t="s">
        <v>243</v>
      </c>
      <c r="D12" s="7" t="s">
        <v>245</v>
      </c>
      <c r="E12" s="7" t="n">
        <v>2026</v>
      </c>
      <c r="F12" s="8" t="n">
        <v>705</v>
      </c>
      <c r="G12" s="9" t="n">
        <v>2350</v>
      </c>
      <c r="H12" s="10" t="n">
        <v>5875</v>
      </c>
    </row>
    <row r="13" customFormat="false" ht="23.85" hidden="false" customHeight="false" outlineLevel="0" collapsed="false">
      <c r="A13" s="7" t="s">
        <v>241</v>
      </c>
      <c r="B13" s="7" t="s">
        <v>242</v>
      </c>
      <c r="C13" s="7" t="s">
        <v>243</v>
      </c>
      <c r="D13" s="7" t="s">
        <v>245</v>
      </c>
      <c r="E13" s="7" t="n">
        <v>2027</v>
      </c>
      <c r="F13" s="8" t="n">
        <v>645</v>
      </c>
      <c r="G13" s="9" t="n">
        <v>2150</v>
      </c>
      <c r="H13" s="10" t="n">
        <v>5375</v>
      </c>
    </row>
    <row r="14" customFormat="false" ht="23.85" hidden="false" customHeight="false" outlineLevel="0" collapsed="false">
      <c r="A14" s="7" t="s">
        <v>241</v>
      </c>
      <c r="B14" s="7" t="s">
        <v>242</v>
      </c>
      <c r="C14" s="7" t="s">
        <v>243</v>
      </c>
      <c r="D14" s="7" t="s">
        <v>245</v>
      </c>
      <c r="E14" s="7" t="n">
        <v>2028</v>
      </c>
      <c r="F14" s="8" t="n">
        <v>578</v>
      </c>
      <c r="G14" s="9" t="n">
        <v>1925</v>
      </c>
      <c r="H14" s="10" t="n">
        <v>4812</v>
      </c>
    </row>
    <row r="15" customFormat="false" ht="23.85" hidden="false" customHeight="false" outlineLevel="0" collapsed="false">
      <c r="A15" s="7" t="s">
        <v>241</v>
      </c>
      <c r="B15" s="7" t="s">
        <v>242</v>
      </c>
      <c r="C15" s="7" t="s">
        <v>243</v>
      </c>
      <c r="D15" s="7" t="s">
        <v>245</v>
      </c>
      <c r="E15" s="7" t="n">
        <v>2029</v>
      </c>
      <c r="F15" s="8" t="n">
        <v>510</v>
      </c>
      <c r="G15" s="9" t="n">
        <v>1700</v>
      </c>
      <c r="H15" s="10" t="n">
        <v>4250</v>
      </c>
    </row>
    <row r="16" customFormat="false" ht="23.85" hidden="false" customHeight="false" outlineLevel="0" collapsed="false">
      <c r="A16" s="7" t="s">
        <v>241</v>
      </c>
      <c r="B16" s="7" t="s">
        <v>242</v>
      </c>
      <c r="C16" s="7" t="s">
        <v>243</v>
      </c>
      <c r="D16" s="7" t="s">
        <v>245</v>
      </c>
      <c r="E16" s="7" t="n">
        <v>2030</v>
      </c>
      <c r="F16" s="8" t="n">
        <v>435</v>
      </c>
      <c r="G16" s="9" t="n">
        <v>1450</v>
      </c>
      <c r="H16" s="10" t="n">
        <v>3625</v>
      </c>
    </row>
    <row r="17" customFormat="false" ht="23.85" hidden="false" customHeight="false" outlineLevel="0" collapsed="false">
      <c r="A17" s="7" t="s">
        <v>241</v>
      </c>
      <c r="B17" s="7" t="s">
        <v>242</v>
      </c>
      <c r="C17" s="7" t="s">
        <v>243</v>
      </c>
      <c r="D17" s="7" t="s">
        <v>246</v>
      </c>
      <c r="E17" s="7" t="n">
        <v>2025</v>
      </c>
      <c r="F17" s="8" t="n">
        <v>750</v>
      </c>
      <c r="G17" s="9" t="n">
        <v>2500</v>
      </c>
      <c r="H17" s="10" t="n">
        <v>6250</v>
      </c>
    </row>
    <row r="18" customFormat="false" ht="23.85" hidden="false" customHeight="false" outlineLevel="0" collapsed="false">
      <c r="A18" s="7" t="s">
        <v>241</v>
      </c>
      <c r="B18" s="7" t="s">
        <v>242</v>
      </c>
      <c r="C18" s="7" t="s">
        <v>243</v>
      </c>
      <c r="D18" s="7" t="s">
        <v>246</v>
      </c>
      <c r="E18" s="7" t="n">
        <v>2026</v>
      </c>
      <c r="F18" s="8" t="n">
        <v>638</v>
      </c>
      <c r="G18" s="9" t="n">
        <v>2125</v>
      </c>
      <c r="H18" s="10" t="n">
        <v>5312</v>
      </c>
    </row>
    <row r="19" customFormat="false" ht="23.85" hidden="false" customHeight="false" outlineLevel="0" collapsed="false">
      <c r="A19" s="7" t="s">
        <v>241</v>
      </c>
      <c r="B19" s="7" t="s">
        <v>242</v>
      </c>
      <c r="C19" s="7" t="s">
        <v>243</v>
      </c>
      <c r="D19" s="7" t="s">
        <v>246</v>
      </c>
      <c r="E19" s="7" t="n">
        <v>2027</v>
      </c>
      <c r="F19" s="8" t="n">
        <v>510</v>
      </c>
      <c r="G19" s="9" t="n">
        <v>1700</v>
      </c>
      <c r="H19" s="10" t="n">
        <v>4250</v>
      </c>
    </row>
    <row r="20" customFormat="false" ht="23.85" hidden="false" customHeight="false" outlineLevel="0" collapsed="false">
      <c r="A20" s="7" t="s">
        <v>241</v>
      </c>
      <c r="B20" s="7" t="s">
        <v>242</v>
      </c>
      <c r="C20" s="7" t="s">
        <v>243</v>
      </c>
      <c r="D20" s="7" t="s">
        <v>246</v>
      </c>
      <c r="E20" s="7" t="n">
        <v>2028</v>
      </c>
      <c r="F20" s="8" t="n">
        <v>382</v>
      </c>
      <c r="G20" s="9" t="n">
        <v>1275</v>
      </c>
      <c r="H20" s="10" t="n">
        <v>3188</v>
      </c>
    </row>
    <row r="21" customFormat="false" ht="23.85" hidden="false" customHeight="false" outlineLevel="0" collapsed="false">
      <c r="A21" s="7" t="s">
        <v>241</v>
      </c>
      <c r="B21" s="7" t="s">
        <v>242</v>
      </c>
      <c r="C21" s="7" t="s">
        <v>243</v>
      </c>
      <c r="D21" s="7" t="s">
        <v>246</v>
      </c>
      <c r="E21" s="7" t="n">
        <v>2029</v>
      </c>
      <c r="F21" s="8" t="n">
        <v>270</v>
      </c>
      <c r="G21" s="9" t="n">
        <v>900</v>
      </c>
      <c r="H21" s="10" t="n">
        <v>2250</v>
      </c>
    </row>
    <row r="22" customFormat="false" ht="23.85" hidden="false" customHeight="false" outlineLevel="0" collapsed="false">
      <c r="A22" s="7" t="s">
        <v>241</v>
      </c>
      <c r="B22" s="7" t="s">
        <v>242</v>
      </c>
      <c r="C22" s="7" t="s">
        <v>243</v>
      </c>
      <c r="D22" s="7" t="s">
        <v>246</v>
      </c>
      <c r="E22" s="7" t="n">
        <v>2030</v>
      </c>
      <c r="F22" s="8" t="n">
        <v>172</v>
      </c>
      <c r="G22" s="9" t="n">
        <v>575</v>
      </c>
      <c r="H22" s="10" t="n">
        <v>1438</v>
      </c>
    </row>
    <row r="23" customFormat="false" ht="23.85" hidden="false" customHeight="false" outlineLevel="0" collapsed="false">
      <c r="A23" s="7" t="s">
        <v>247</v>
      </c>
      <c r="B23" s="7" t="s">
        <v>248</v>
      </c>
      <c r="C23" s="7" t="s">
        <v>249</v>
      </c>
      <c r="D23" s="7" t="s">
        <v>244</v>
      </c>
      <c r="E23" s="7" t="n">
        <v>2025</v>
      </c>
      <c r="F23" s="8" t="n">
        <v>360</v>
      </c>
      <c r="G23" s="9" t="n">
        <v>1200</v>
      </c>
      <c r="H23" s="10" t="n">
        <v>3000</v>
      </c>
    </row>
    <row r="24" customFormat="false" ht="23.85" hidden="false" customHeight="false" outlineLevel="0" collapsed="false">
      <c r="A24" s="7" t="s">
        <v>247</v>
      </c>
      <c r="B24" s="7" t="s">
        <v>248</v>
      </c>
      <c r="C24" s="7" t="s">
        <v>249</v>
      </c>
      <c r="D24" s="7" t="s">
        <v>244</v>
      </c>
      <c r="E24" s="7" t="n">
        <v>2026</v>
      </c>
      <c r="F24" s="8" t="n">
        <v>356</v>
      </c>
      <c r="G24" s="9" t="n">
        <v>1188</v>
      </c>
      <c r="H24" s="10" t="n">
        <v>2970</v>
      </c>
    </row>
    <row r="25" customFormat="false" ht="23.85" hidden="false" customHeight="false" outlineLevel="0" collapsed="false">
      <c r="A25" s="7" t="s">
        <v>247</v>
      </c>
      <c r="B25" s="7" t="s">
        <v>248</v>
      </c>
      <c r="C25" s="7" t="s">
        <v>249</v>
      </c>
      <c r="D25" s="7" t="s">
        <v>244</v>
      </c>
      <c r="E25" s="7" t="n">
        <v>2027</v>
      </c>
      <c r="F25" s="8" t="n">
        <v>353</v>
      </c>
      <c r="G25" s="9" t="n">
        <v>1176</v>
      </c>
      <c r="H25" s="10" t="n">
        <v>2940</v>
      </c>
    </row>
    <row r="26" customFormat="false" ht="23.85" hidden="false" customHeight="false" outlineLevel="0" collapsed="false">
      <c r="A26" s="7" t="s">
        <v>247</v>
      </c>
      <c r="B26" s="7" t="s">
        <v>248</v>
      </c>
      <c r="C26" s="7" t="s">
        <v>249</v>
      </c>
      <c r="D26" s="7" t="s">
        <v>244</v>
      </c>
      <c r="E26" s="7" t="n">
        <v>2028</v>
      </c>
      <c r="F26" s="8" t="n">
        <v>349</v>
      </c>
      <c r="G26" s="9" t="n">
        <v>1164</v>
      </c>
      <c r="H26" s="10" t="n">
        <v>2910</v>
      </c>
    </row>
    <row r="27" customFormat="false" ht="23.85" hidden="false" customHeight="false" outlineLevel="0" collapsed="false">
      <c r="A27" s="7" t="s">
        <v>247</v>
      </c>
      <c r="B27" s="7" t="s">
        <v>248</v>
      </c>
      <c r="C27" s="7" t="s">
        <v>249</v>
      </c>
      <c r="D27" s="7" t="s">
        <v>244</v>
      </c>
      <c r="E27" s="7" t="n">
        <v>2029</v>
      </c>
      <c r="F27" s="8" t="n">
        <v>346</v>
      </c>
      <c r="G27" s="9" t="n">
        <v>1152</v>
      </c>
      <c r="H27" s="10" t="n">
        <v>2880</v>
      </c>
    </row>
    <row r="28" customFormat="false" ht="23.85" hidden="false" customHeight="false" outlineLevel="0" collapsed="false">
      <c r="A28" s="7" t="s">
        <v>247</v>
      </c>
      <c r="B28" s="7" t="s">
        <v>248</v>
      </c>
      <c r="C28" s="7" t="s">
        <v>249</v>
      </c>
      <c r="D28" s="7" t="s">
        <v>244</v>
      </c>
      <c r="E28" s="7" t="n">
        <v>2030</v>
      </c>
      <c r="F28" s="8" t="n">
        <v>342</v>
      </c>
      <c r="G28" s="9" t="n">
        <v>1140</v>
      </c>
      <c r="H28" s="10" t="n">
        <v>2850</v>
      </c>
    </row>
    <row r="29" customFormat="false" ht="23.85" hidden="false" customHeight="false" outlineLevel="0" collapsed="false">
      <c r="A29" s="7" t="s">
        <v>247</v>
      </c>
      <c r="B29" s="7" t="s">
        <v>248</v>
      </c>
      <c r="C29" s="7" t="s">
        <v>249</v>
      </c>
      <c r="D29" s="7" t="s">
        <v>245</v>
      </c>
      <c r="E29" s="7" t="n">
        <v>2025</v>
      </c>
      <c r="F29" s="8" t="n">
        <v>360</v>
      </c>
      <c r="G29" s="9" t="n">
        <v>1200</v>
      </c>
      <c r="H29" s="10" t="n">
        <v>3000</v>
      </c>
    </row>
    <row r="30" customFormat="false" ht="23.85" hidden="false" customHeight="false" outlineLevel="0" collapsed="false">
      <c r="A30" s="7" t="s">
        <v>247</v>
      </c>
      <c r="B30" s="7" t="s">
        <v>248</v>
      </c>
      <c r="C30" s="7" t="s">
        <v>249</v>
      </c>
      <c r="D30" s="7" t="s">
        <v>245</v>
      </c>
      <c r="E30" s="7" t="n">
        <v>2026</v>
      </c>
      <c r="F30" s="8" t="n">
        <v>338</v>
      </c>
      <c r="G30" s="9" t="n">
        <v>1128</v>
      </c>
      <c r="H30" s="10" t="n">
        <v>2820</v>
      </c>
    </row>
    <row r="31" customFormat="false" ht="23.85" hidden="false" customHeight="false" outlineLevel="0" collapsed="false">
      <c r="A31" s="7" t="s">
        <v>247</v>
      </c>
      <c r="B31" s="7" t="s">
        <v>248</v>
      </c>
      <c r="C31" s="7" t="s">
        <v>249</v>
      </c>
      <c r="D31" s="7" t="s">
        <v>245</v>
      </c>
      <c r="E31" s="7" t="n">
        <v>2027</v>
      </c>
      <c r="F31" s="8" t="n">
        <v>310</v>
      </c>
      <c r="G31" s="9" t="n">
        <v>1032</v>
      </c>
      <c r="H31" s="10" t="n">
        <v>2580</v>
      </c>
    </row>
    <row r="32" customFormat="false" ht="23.85" hidden="false" customHeight="false" outlineLevel="0" collapsed="false">
      <c r="A32" s="7" t="s">
        <v>247</v>
      </c>
      <c r="B32" s="7" t="s">
        <v>248</v>
      </c>
      <c r="C32" s="7" t="s">
        <v>249</v>
      </c>
      <c r="D32" s="7" t="s">
        <v>245</v>
      </c>
      <c r="E32" s="7" t="n">
        <v>2028</v>
      </c>
      <c r="F32" s="8" t="n">
        <v>277</v>
      </c>
      <c r="G32" s="9" t="n">
        <v>924</v>
      </c>
      <c r="H32" s="10" t="n">
        <v>2310</v>
      </c>
    </row>
    <row r="33" customFormat="false" ht="23.85" hidden="false" customHeight="false" outlineLevel="0" collapsed="false">
      <c r="A33" s="7" t="s">
        <v>247</v>
      </c>
      <c r="B33" s="7" t="s">
        <v>248</v>
      </c>
      <c r="C33" s="7" t="s">
        <v>249</v>
      </c>
      <c r="D33" s="7" t="s">
        <v>245</v>
      </c>
      <c r="E33" s="7" t="n">
        <v>2029</v>
      </c>
      <c r="F33" s="8" t="n">
        <v>245</v>
      </c>
      <c r="G33" s="9" t="n">
        <v>816</v>
      </c>
      <c r="H33" s="10" t="n">
        <v>2040</v>
      </c>
    </row>
    <row r="34" customFormat="false" ht="23.85" hidden="false" customHeight="false" outlineLevel="0" collapsed="false">
      <c r="A34" s="7" t="s">
        <v>247</v>
      </c>
      <c r="B34" s="7" t="s">
        <v>248</v>
      </c>
      <c r="C34" s="7" t="s">
        <v>249</v>
      </c>
      <c r="D34" s="7" t="s">
        <v>245</v>
      </c>
      <c r="E34" s="7" t="n">
        <v>2030</v>
      </c>
      <c r="F34" s="8" t="n">
        <v>209</v>
      </c>
      <c r="G34" s="9" t="n">
        <v>696</v>
      </c>
      <c r="H34" s="10" t="n">
        <v>1740</v>
      </c>
    </row>
    <row r="35" customFormat="false" ht="23.85" hidden="false" customHeight="false" outlineLevel="0" collapsed="false">
      <c r="A35" s="7" t="s">
        <v>247</v>
      </c>
      <c r="B35" s="7" t="s">
        <v>248</v>
      </c>
      <c r="C35" s="7" t="s">
        <v>249</v>
      </c>
      <c r="D35" s="7" t="s">
        <v>246</v>
      </c>
      <c r="E35" s="7" t="n">
        <v>2025</v>
      </c>
      <c r="F35" s="8" t="n">
        <v>360</v>
      </c>
      <c r="G35" s="9" t="n">
        <v>1200</v>
      </c>
      <c r="H35" s="10" t="n">
        <v>3000</v>
      </c>
    </row>
    <row r="36" customFormat="false" ht="23.85" hidden="false" customHeight="false" outlineLevel="0" collapsed="false">
      <c r="A36" s="7" t="s">
        <v>247</v>
      </c>
      <c r="B36" s="7" t="s">
        <v>248</v>
      </c>
      <c r="C36" s="7" t="s">
        <v>249</v>
      </c>
      <c r="D36" s="7" t="s">
        <v>246</v>
      </c>
      <c r="E36" s="7" t="n">
        <v>2026</v>
      </c>
      <c r="F36" s="8" t="n">
        <v>306</v>
      </c>
      <c r="G36" s="9" t="n">
        <v>1020</v>
      </c>
      <c r="H36" s="10" t="n">
        <v>2550</v>
      </c>
    </row>
    <row r="37" customFormat="false" ht="23.85" hidden="false" customHeight="false" outlineLevel="0" collapsed="false">
      <c r="A37" s="7" t="s">
        <v>247</v>
      </c>
      <c r="B37" s="7" t="s">
        <v>248</v>
      </c>
      <c r="C37" s="7" t="s">
        <v>249</v>
      </c>
      <c r="D37" s="7" t="s">
        <v>246</v>
      </c>
      <c r="E37" s="7" t="n">
        <v>2027</v>
      </c>
      <c r="F37" s="8" t="n">
        <v>245</v>
      </c>
      <c r="G37" s="9" t="n">
        <v>816</v>
      </c>
      <c r="H37" s="10" t="n">
        <v>2040</v>
      </c>
    </row>
    <row r="38" customFormat="false" ht="23.85" hidden="false" customHeight="false" outlineLevel="0" collapsed="false">
      <c r="A38" s="7" t="s">
        <v>247</v>
      </c>
      <c r="B38" s="7" t="s">
        <v>248</v>
      </c>
      <c r="C38" s="7" t="s">
        <v>249</v>
      </c>
      <c r="D38" s="7" t="s">
        <v>246</v>
      </c>
      <c r="E38" s="7" t="n">
        <v>2028</v>
      </c>
      <c r="F38" s="8" t="n">
        <v>184</v>
      </c>
      <c r="G38" s="9" t="n">
        <v>612</v>
      </c>
      <c r="H38" s="10" t="n">
        <v>1530</v>
      </c>
    </row>
    <row r="39" customFormat="false" ht="23.85" hidden="false" customHeight="false" outlineLevel="0" collapsed="false">
      <c r="A39" s="7" t="s">
        <v>247</v>
      </c>
      <c r="B39" s="7" t="s">
        <v>248</v>
      </c>
      <c r="C39" s="7" t="s">
        <v>249</v>
      </c>
      <c r="D39" s="7" t="s">
        <v>246</v>
      </c>
      <c r="E39" s="7" t="n">
        <v>2029</v>
      </c>
      <c r="F39" s="8" t="n">
        <v>130</v>
      </c>
      <c r="G39" s="9" t="n">
        <v>432</v>
      </c>
      <c r="H39" s="10" t="n">
        <v>1080</v>
      </c>
    </row>
    <row r="40" customFormat="false" ht="23.85" hidden="false" customHeight="false" outlineLevel="0" collapsed="false">
      <c r="A40" s="7" t="s">
        <v>247</v>
      </c>
      <c r="B40" s="7" t="s">
        <v>248</v>
      </c>
      <c r="C40" s="7" t="s">
        <v>249</v>
      </c>
      <c r="D40" s="7" t="s">
        <v>246</v>
      </c>
      <c r="E40" s="7" t="n">
        <v>2030</v>
      </c>
      <c r="F40" s="8" t="n">
        <v>83</v>
      </c>
      <c r="G40" s="9" t="n">
        <v>276</v>
      </c>
      <c r="H40" s="10" t="n">
        <v>690</v>
      </c>
    </row>
    <row r="41" customFormat="false" ht="23.85" hidden="false" customHeight="false" outlineLevel="0" collapsed="false">
      <c r="A41" s="7" t="s">
        <v>250</v>
      </c>
      <c r="B41" s="7" t="s">
        <v>251</v>
      </c>
      <c r="C41" s="7" t="s">
        <v>249</v>
      </c>
      <c r="D41" s="7" t="s">
        <v>244</v>
      </c>
      <c r="E41" s="7" t="n">
        <v>2025</v>
      </c>
      <c r="F41" s="8" t="n">
        <v>15</v>
      </c>
      <c r="G41" s="9" t="n">
        <v>50</v>
      </c>
      <c r="H41" s="10" t="n">
        <v>125</v>
      </c>
    </row>
    <row r="42" customFormat="false" ht="23.85" hidden="false" customHeight="false" outlineLevel="0" collapsed="false">
      <c r="A42" s="7" t="s">
        <v>250</v>
      </c>
      <c r="B42" s="7" t="s">
        <v>251</v>
      </c>
      <c r="C42" s="7" t="s">
        <v>249</v>
      </c>
      <c r="D42" s="7" t="s">
        <v>244</v>
      </c>
      <c r="E42" s="7" t="n">
        <v>2026</v>
      </c>
      <c r="F42" s="8" t="n">
        <v>15</v>
      </c>
      <c r="G42" s="9" t="n">
        <v>50</v>
      </c>
      <c r="H42" s="10" t="n">
        <v>125</v>
      </c>
    </row>
    <row r="43" customFormat="false" ht="23.85" hidden="false" customHeight="false" outlineLevel="0" collapsed="false">
      <c r="A43" s="7" t="s">
        <v>250</v>
      </c>
      <c r="B43" s="7" t="s">
        <v>251</v>
      </c>
      <c r="C43" s="7" t="s">
        <v>249</v>
      </c>
      <c r="D43" s="7" t="s">
        <v>244</v>
      </c>
      <c r="E43" s="7" t="n">
        <v>2027</v>
      </c>
      <c r="F43" s="8" t="n">
        <v>15</v>
      </c>
      <c r="G43" s="9" t="n">
        <v>49</v>
      </c>
      <c r="H43" s="10" t="n">
        <v>122</v>
      </c>
    </row>
    <row r="44" customFormat="false" ht="23.85" hidden="false" customHeight="false" outlineLevel="0" collapsed="false">
      <c r="A44" s="7" t="s">
        <v>250</v>
      </c>
      <c r="B44" s="7" t="s">
        <v>251</v>
      </c>
      <c r="C44" s="7" t="s">
        <v>249</v>
      </c>
      <c r="D44" s="7" t="s">
        <v>244</v>
      </c>
      <c r="E44" s="7" t="n">
        <v>2028</v>
      </c>
      <c r="F44" s="8" t="n">
        <v>14</v>
      </c>
      <c r="G44" s="9" t="n">
        <v>48</v>
      </c>
      <c r="H44" s="10" t="n">
        <v>120</v>
      </c>
    </row>
    <row r="45" customFormat="false" ht="23.85" hidden="false" customHeight="false" outlineLevel="0" collapsed="false">
      <c r="A45" s="7" t="s">
        <v>250</v>
      </c>
      <c r="B45" s="7" t="s">
        <v>251</v>
      </c>
      <c r="C45" s="7" t="s">
        <v>249</v>
      </c>
      <c r="D45" s="7" t="s">
        <v>244</v>
      </c>
      <c r="E45" s="7" t="n">
        <v>2029</v>
      </c>
      <c r="F45" s="8" t="n">
        <v>14</v>
      </c>
      <c r="G45" s="9" t="n">
        <v>48</v>
      </c>
      <c r="H45" s="10" t="n">
        <v>120</v>
      </c>
    </row>
    <row r="46" customFormat="false" ht="23.85" hidden="false" customHeight="false" outlineLevel="0" collapsed="false">
      <c r="A46" s="7" t="s">
        <v>250</v>
      </c>
      <c r="B46" s="7" t="s">
        <v>251</v>
      </c>
      <c r="C46" s="7" t="s">
        <v>249</v>
      </c>
      <c r="D46" s="7" t="s">
        <v>244</v>
      </c>
      <c r="E46" s="7" t="n">
        <v>2030</v>
      </c>
      <c r="F46" s="8" t="n">
        <v>14</v>
      </c>
      <c r="G46" s="9" t="n">
        <v>48</v>
      </c>
      <c r="H46" s="10" t="n">
        <v>120</v>
      </c>
    </row>
    <row r="47" customFormat="false" ht="23.85" hidden="false" customHeight="false" outlineLevel="0" collapsed="false">
      <c r="A47" s="7" t="s">
        <v>250</v>
      </c>
      <c r="B47" s="7" t="s">
        <v>251</v>
      </c>
      <c r="C47" s="7" t="s">
        <v>249</v>
      </c>
      <c r="D47" s="7" t="s">
        <v>245</v>
      </c>
      <c r="E47" s="7" t="n">
        <v>2025</v>
      </c>
      <c r="F47" s="8" t="n">
        <v>15</v>
      </c>
      <c r="G47" s="9" t="n">
        <v>50</v>
      </c>
      <c r="H47" s="10" t="n">
        <v>125</v>
      </c>
    </row>
    <row r="48" customFormat="false" ht="23.85" hidden="false" customHeight="false" outlineLevel="0" collapsed="false">
      <c r="A48" s="7" t="s">
        <v>250</v>
      </c>
      <c r="B48" s="7" t="s">
        <v>251</v>
      </c>
      <c r="C48" s="7" t="s">
        <v>249</v>
      </c>
      <c r="D48" s="7" t="s">
        <v>245</v>
      </c>
      <c r="E48" s="7" t="n">
        <v>2026</v>
      </c>
      <c r="F48" s="8" t="n">
        <v>14</v>
      </c>
      <c r="G48" s="9" t="n">
        <v>47</v>
      </c>
      <c r="H48" s="10" t="n">
        <v>118</v>
      </c>
    </row>
    <row r="49" customFormat="false" ht="23.85" hidden="false" customHeight="false" outlineLevel="0" collapsed="false">
      <c r="A49" s="7" t="s">
        <v>250</v>
      </c>
      <c r="B49" s="7" t="s">
        <v>251</v>
      </c>
      <c r="C49" s="7" t="s">
        <v>249</v>
      </c>
      <c r="D49" s="7" t="s">
        <v>245</v>
      </c>
      <c r="E49" s="7" t="n">
        <v>2027</v>
      </c>
      <c r="F49" s="8" t="n">
        <v>13</v>
      </c>
      <c r="G49" s="9" t="n">
        <v>43</v>
      </c>
      <c r="H49" s="10" t="n">
        <v>108</v>
      </c>
    </row>
    <row r="50" customFormat="false" ht="23.85" hidden="false" customHeight="false" outlineLevel="0" collapsed="false">
      <c r="A50" s="7" t="s">
        <v>250</v>
      </c>
      <c r="B50" s="7" t="s">
        <v>251</v>
      </c>
      <c r="C50" s="7" t="s">
        <v>249</v>
      </c>
      <c r="D50" s="7" t="s">
        <v>245</v>
      </c>
      <c r="E50" s="7" t="n">
        <v>2028</v>
      </c>
      <c r="F50" s="8" t="n">
        <v>11</v>
      </c>
      <c r="G50" s="9" t="n">
        <v>38</v>
      </c>
      <c r="H50" s="10" t="n">
        <v>95</v>
      </c>
    </row>
    <row r="51" customFormat="false" ht="23.85" hidden="false" customHeight="false" outlineLevel="0" collapsed="false">
      <c r="A51" s="7" t="s">
        <v>250</v>
      </c>
      <c r="B51" s="7" t="s">
        <v>251</v>
      </c>
      <c r="C51" s="7" t="s">
        <v>249</v>
      </c>
      <c r="D51" s="7" t="s">
        <v>245</v>
      </c>
      <c r="E51" s="7" t="n">
        <v>2029</v>
      </c>
      <c r="F51" s="8" t="n">
        <v>10</v>
      </c>
      <c r="G51" s="9" t="n">
        <v>34</v>
      </c>
      <c r="H51" s="10" t="n">
        <v>85</v>
      </c>
    </row>
    <row r="52" customFormat="false" ht="23.85" hidden="false" customHeight="false" outlineLevel="0" collapsed="false">
      <c r="A52" s="7" t="s">
        <v>250</v>
      </c>
      <c r="B52" s="7" t="s">
        <v>251</v>
      </c>
      <c r="C52" s="7" t="s">
        <v>249</v>
      </c>
      <c r="D52" s="7" t="s">
        <v>245</v>
      </c>
      <c r="E52" s="7" t="n">
        <v>2030</v>
      </c>
      <c r="F52" s="8" t="n">
        <v>9</v>
      </c>
      <c r="G52" s="9" t="n">
        <v>29</v>
      </c>
      <c r="H52" s="10" t="n">
        <v>72</v>
      </c>
    </row>
    <row r="53" customFormat="false" ht="23.85" hidden="false" customHeight="false" outlineLevel="0" collapsed="false">
      <c r="A53" s="7" t="s">
        <v>250</v>
      </c>
      <c r="B53" s="7" t="s">
        <v>251</v>
      </c>
      <c r="C53" s="7" t="s">
        <v>249</v>
      </c>
      <c r="D53" s="7" t="s">
        <v>246</v>
      </c>
      <c r="E53" s="7" t="n">
        <v>2025</v>
      </c>
      <c r="F53" s="8" t="n">
        <v>15</v>
      </c>
      <c r="G53" s="9" t="n">
        <v>50</v>
      </c>
      <c r="H53" s="10" t="n">
        <v>125</v>
      </c>
    </row>
    <row r="54" customFormat="false" ht="23.85" hidden="false" customHeight="false" outlineLevel="0" collapsed="false">
      <c r="A54" s="7" t="s">
        <v>250</v>
      </c>
      <c r="B54" s="7" t="s">
        <v>251</v>
      </c>
      <c r="C54" s="7" t="s">
        <v>249</v>
      </c>
      <c r="D54" s="7" t="s">
        <v>246</v>
      </c>
      <c r="E54" s="7" t="n">
        <v>2026</v>
      </c>
      <c r="F54" s="8" t="n">
        <v>13</v>
      </c>
      <c r="G54" s="9" t="n">
        <v>42</v>
      </c>
      <c r="H54" s="10" t="n">
        <v>105</v>
      </c>
    </row>
    <row r="55" customFormat="false" ht="23.85" hidden="false" customHeight="false" outlineLevel="0" collapsed="false">
      <c r="A55" s="7" t="s">
        <v>250</v>
      </c>
      <c r="B55" s="7" t="s">
        <v>251</v>
      </c>
      <c r="C55" s="7" t="s">
        <v>249</v>
      </c>
      <c r="D55" s="7" t="s">
        <v>246</v>
      </c>
      <c r="E55" s="7" t="n">
        <v>2027</v>
      </c>
      <c r="F55" s="8" t="n">
        <v>10</v>
      </c>
      <c r="G55" s="9" t="n">
        <v>34</v>
      </c>
      <c r="H55" s="10" t="n">
        <v>85</v>
      </c>
    </row>
    <row r="56" customFormat="false" ht="23.85" hidden="false" customHeight="false" outlineLevel="0" collapsed="false">
      <c r="A56" s="7" t="s">
        <v>250</v>
      </c>
      <c r="B56" s="7" t="s">
        <v>251</v>
      </c>
      <c r="C56" s="7" t="s">
        <v>249</v>
      </c>
      <c r="D56" s="7" t="s">
        <v>246</v>
      </c>
      <c r="E56" s="7" t="n">
        <v>2028</v>
      </c>
      <c r="F56" s="8" t="n">
        <v>8</v>
      </c>
      <c r="G56" s="9" t="n">
        <v>26</v>
      </c>
      <c r="H56" s="10" t="n">
        <v>65</v>
      </c>
    </row>
    <row r="57" customFormat="false" ht="23.85" hidden="false" customHeight="false" outlineLevel="0" collapsed="false">
      <c r="A57" s="7" t="s">
        <v>250</v>
      </c>
      <c r="B57" s="7" t="s">
        <v>251</v>
      </c>
      <c r="C57" s="7" t="s">
        <v>249</v>
      </c>
      <c r="D57" s="7" t="s">
        <v>246</v>
      </c>
      <c r="E57" s="7" t="n">
        <v>2029</v>
      </c>
      <c r="F57" s="8" t="n">
        <v>5</v>
      </c>
      <c r="G57" s="9" t="n">
        <v>18</v>
      </c>
      <c r="H57" s="10" t="n">
        <v>45</v>
      </c>
    </row>
    <row r="58" customFormat="false" ht="23.85" hidden="false" customHeight="false" outlineLevel="0" collapsed="false">
      <c r="A58" s="7" t="s">
        <v>250</v>
      </c>
      <c r="B58" s="7" t="s">
        <v>251</v>
      </c>
      <c r="C58" s="7" t="s">
        <v>249</v>
      </c>
      <c r="D58" s="7" t="s">
        <v>246</v>
      </c>
      <c r="E58" s="7" t="n">
        <v>2030</v>
      </c>
      <c r="F58" s="8" t="n">
        <v>4</v>
      </c>
      <c r="G58" s="9" t="n">
        <v>12</v>
      </c>
      <c r="H58" s="10" t="n">
        <v>30</v>
      </c>
    </row>
    <row r="59" customFormat="false" ht="15" hidden="false" customHeight="false" outlineLevel="0" collapsed="false">
      <c r="A59" s="7" t="s">
        <v>252</v>
      </c>
      <c r="B59" s="7" t="s">
        <v>253</v>
      </c>
      <c r="C59" s="7" t="s">
        <v>254</v>
      </c>
      <c r="D59" s="7" t="s">
        <v>244</v>
      </c>
      <c r="E59" s="7" t="n">
        <v>2025</v>
      </c>
      <c r="F59" s="8" t="n">
        <v>1050</v>
      </c>
      <c r="G59" s="9" t="n">
        <v>3500</v>
      </c>
      <c r="H59" s="10" t="n">
        <v>8750</v>
      </c>
    </row>
    <row r="60" customFormat="false" ht="15" hidden="false" customHeight="false" outlineLevel="0" collapsed="false">
      <c r="A60" s="7" t="s">
        <v>252</v>
      </c>
      <c r="B60" s="7" t="s">
        <v>253</v>
      </c>
      <c r="C60" s="7" t="s">
        <v>254</v>
      </c>
      <c r="D60" s="7" t="s">
        <v>244</v>
      </c>
      <c r="E60" s="7" t="n">
        <v>2026</v>
      </c>
      <c r="F60" s="8" t="n">
        <v>1040</v>
      </c>
      <c r="G60" s="9" t="n">
        <v>3465</v>
      </c>
      <c r="H60" s="10" t="n">
        <v>8662</v>
      </c>
    </row>
    <row r="61" customFormat="false" ht="15" hidden="false" customHeight="false" outlineLevel="0" collapsed="false">
      <c r="A61" s="7" t="s">
        <v>252</v>
      </c>
      <c r="B61" s="7" t="s">
        <v>253</v>
      </c>
      <c r="C61" s="7" t="s">
        <v>254</v>
      </c>
      <c r="D61" s="7" t="s">
        <v>244</v>
      </c>
      <c r="E61" s="7" t="n">
        <v>2027</v>
      </c>
      <c r="F61" s="8" t="n">
        <v>1029</v>
      </c>
      <c r="G61" s="9" t="n">
        <v>3430</v>
      </c>
      <c r="H61" s="10" t="n">
        <v>8575</v>
      </c>
    </row>
    <row r="62" customFormat="false" ht="15" hidden="false" customHeight="false" outlineLevel="0" collapsed="false">
      <c r="A62" s="7" t="s">
        <v>252</v>
      </c>
      <c r="B62" s="7" t="s">
        <v>253</v>
      </c>
      <c r="C62" s="7" t="s">
        <v>254</v>
      </c>
      <c r="D62" s="7" t="s">
        <v>244</v>
      </c>
      <c r="E62" s="7" t="n">
        <v>2028</v>
      </c>
      <c r="F62" s="8" t="n">
        <v>1018</v>
      </c>
      <c r="G62" s="9" t="n">
        <v>3395</v>
      </c>
      <c r="H62" s="10" t="n">
        <v>8488</v>
      </c>
    </row>
    <row r="63" customFormat="false" ht="15" hidden="false" customHeight="false" outlineLevel="0" collapsed="false">
      <c r="A63" s="7" t="s">
        <v>252</v>
      </c>
      <c r="B63" s="7" t="s">
        <v>253</v>
      </c>
      <c r="C63" s="7" t="s">
        <v>254</v>
      </c>
      <c r="D63" s="7" t="s">
        <v>244</v>
      </c>
      <c r="E63" s="7" t="n">
        <v>2029</v>
      </c>
      <c r="F63" s="8" t="n">
        <v>1008</v>
      </c>
      <c r="G63" s="9" t="n">
        <v>3360</v>
      </c>
      <c r="H63" s="10" t="n">
        <v>8400</v>
      </c>
    </row>
    <row r="64" customFormat="false" ht="15" hidden="false" customHeight="false" outlineLevel="0" collapsed="false">
      <c r="A64" s="7" t="s">
        <v>252</v>
      </c>
      <c r="B64" s="7" t="s">
        <v>253</v>
      </c>
      <c r="C64" s="7" t="s">
        <v>254</v>
      </c>
      <c r="D64" s="7" t="s">
        <v>244</v>
      </c>
      <c r="E64" s="7" t="n">
        <v>2030</v>
      </c>
      <c r="F64" s="8" t="n">
        <v>998</v>
      </c>
      <c r="G64" s="9" t="n">
        <v>3325</v>
      </c>
      <c r="H64" s="10" t="n">
        <v>8312</v>
      </c>
    </row>
    <row r="65" customFormat="false" ht="15" hidden="false" customHeight="false" outlineLevel="0" collapsed="false">
      <c r="A65" s="7" t="s">
        <v>252</v>
      </c>
      <c r="B65" s="7" t="s">
        <v>253</v>
      </c>
      <c r="C65" s="7" t="s">
        <v>254</v>
      </c>
      <c r="D65" s="7" t="s">
        <v>245</v>
      </c>
      <c r="E65" s="7" t="n">
        <v>2025</v>
      </c>
      <c r="F65" s="8" t="n">
        <v>1050</v>
      </c>
      <c r="G65" s="9" t="n">
        <v>3500</v>
      </c>
      <c r="H65" s="10" t="n">
        <v>8750</v>
      </c>
    </row>
    <row r="66" customFormat="false" ht="15" hidden="false" customHeight="false" outlineLevel="0" collapsed="false">
      <c r="A66" s="7" t="s">
        <v>252</v>
      </c>
      <c r="B66" s="7" t="s">
        <v>253</v>
      </c>
      <c r="C66" s="7" t="s">
        <v>254</v>
      </c>
      <c r="D66" s="7" t="s">
        <v>245</v>
      </c>
      <c r="E66" s="7" t="n">
        <v>2026</v>
      </c>
      <c r="F66" s="8" t="n">
        <v>987</v>
      </c>
      <c r="G66" s="9" t="n">
        <v>3290</v>
      </c>
      <c r="H66" s="10" t="n">
        <v>8225</v>
      </c>
    </row>
    <row r="67" customFormat="false" ht="15" hidden="false" customHeight="false" outlineLevel="0" collapsed="false">
      <c r="A67" s="7" t="s">
        <v>252</v>
      </c>
      <c r="B67" s="7" t="s">
        <v>253</v>
      </c>
      <c r="C67" s="7" t="s">
        <v>254</v>
      </c>
      <c r="D67" s="7" t="s">
        <v>245</v>
      </c>
      <c r="E67" s="7" t="n">
        <v>2027</v>
      </c>
      <c r="F67" s="8" t="n">
        <v>903</v>
      </c>
      <c r="G67" s="9" t="n">
        <v>3010</v>
      </c>
      <c r="H67" s="10" t="n">
        <v>7525</v>
      </c>
    </row>
    <row r="68" customFormat="false" ht="15" hidden="false" customHeight="false" outlineLevel="0" collapsed="false">
      <c r="A68" s="7" t="s">
        <v>252</v>
      </c>
      <c r="B68" s="7" t="s">
        <v>253</v>
      </c>
      <c r="C68" s="7" t="s">
        <v>254</v>
      </c>
      <c r="D68" s="7" t="s">
        <v>245</v>
      </c>
      <c r="E68" s="7" t="n">
        <v>2028</v>
      </c>
      <c r="F68" s="8" t="n">
        <v>808</v>
      </c>
      <c r="G68" s="9" t="n">
        <v>2695</v>
      </c>
      <c r="H68" s="10" t="n">
        <v>6738</v>
      </c>
    </row>
    <row r="69" customFormat="false" ht="15" hidden="false" customHeight="false" outlineLevel="0" collapsed="false">
      <c r="A69" s="7" t="s">
        <v>252</v>
      </c>
      <c r="B69" s="7" t="s">
        <v>253</v>
      </c>
      <c r="C69" s="7" t="s">
        <v>254</v>
      </c>
      <c r="D69" s="7" t="s">
        <v>245</v>
      </c>
      <c r="E69" s="7" t="n">
        <v>2029</v>
      </c>
      <c r="F69" s="8" t="n">
        <v>714</v>
      </c>
      <c r="G69" s="9" t="n">
        <v>2380</v>
      </c>
      <c r="H69" s="10" t="n">
        <v>5950</v>
      </c>
    </row>
    <row r="70" customFormat="false" ht="15" hidden="false" customHeight="false" outlineLevel="0" collapsed="false">
      <c r="A70" s="7" t="s">
        <v>252</v>
      </c>
      <c r="B70" s="7" t="s">
        <v>253</v>
      </c>
      <c r="C70" s="7" t="s">
        <v>254</v>
      </c>
      <c r="D70" s="7" t="s">
        <v>245</v>
      </c>
      <c r="E70" s="7" t="n">
        <v>2030</v>
      </c>
      <c r="F70" s="8" t="n">
        <v>609</v>
      </c>
      <c r="G70" s="9" t="n">
        <v>2030</v>
      </c>
      <c r="H70" s="10" t="n">
        <v>5075</v>
      </c>
    </row>
    <row r="71" customFormat="false" ht="15" hidden="false" customHeight="false" outlineLevel="0" collapsed="false">
      <c r="A71" s="7" t="s">
        <v>252</v>
      </c>
      <c r="B71" s="7" t="s">
        <v>253</v>
      </c>
      <c r="C71" s="7" t="s">
        <v>254</v>
      </c>
      <c r="D71" s="7" t="s">
        <v>246</v>
      </c>
      <c r="E71" s="7" t="n">
        <v>2025</v>
      </c>
      <c r="F71" s="8" t="n">
        <v>1050</v>
      </c>
      <c r="G71" s="9" t="n">
        <v>3500</v>
      </c>
      <c r="H71" s="10" t="n">
        <v>8750</v>
      </c>
    </row>
    <row r="72" customFormat="false" ht="15" hidden="false" customHeight="false" outlineLevel="0" collapsed="false">
      <c r="A72" s="7" t="s">
        <v>252</v>
      </c>
      <c r="B72" s="7" t="s">
        <v>253</v>
      </c>
      <c r="C72" s="7" t="s">
        <v>254</v>
      </c>
      <c r="D72" s="7" t="s">
        <v>246</v>
      </c>
      <c r="E72" s="7" t="n">
        <v>2026</v>
      </c>
      <c r="F72" s="8" t="n">
        <v>892</v>
      </c>
      <c r="G72" s="9" t="n">
        <v>2975</v>
      </c>
      <c r="H72" s="10" t="n">
        <v>7438</v>
      </c>
    </row>
    <row r="73" customFormat="false" ht="15" hidden="false" customHeight="false" outlineLevel="0" collapsed="false">
      <c r="A73" s="7" t="s">
        <v>252</v>
      </c>
      <c r="B73" s="7" t="s">
        <v>253</v>
      </c>
      <c r="C73" s="7" t="s">
        <v>254</v>
      </c>
      <c r="D73" s="7" t="s">
        <v>246</v>
      </c>
      <c r="E73" s="7" t="n">
        <v>2027</v>
      </c>
      <c r="F73" s="8" t="n">
        <v>714</v>
      </c>
      <c r="G73" s="9" t="n">
        <v>2380</v>
      </c>
      <c r="H73" s="10" t="n">
        <v>5950</v>
      </c>
    </row>
    <row r="74" customFormat="false" ht="15" hidden="false" customHeight="false" outlineLevel="0" collapsed="false">
      <c r="A74" s="7" t="s">
        <v>252</v>
      </c>
      <c r="B74" s="7" t="s">
        <v>253</v>
      </c>
      <c r="C74" s="7" t="s">
        <v>254</v>
      </c>
      <c r="D74" s="7" t="s">
        <v>246</v>
      </c>
      <c r="E74" s="7" t="n">
        <v>2028</v>
      </c>
      <c r="F74" s="8" t="n">
        <v>536</v>
      </c>
      <c r="G74" s="9" t="n">
        <v>1785</v>
      </c>
      <c r="H74" s="10" t="n">
        <v>4462</v>
      </c>
    </row>
    <row r="75" customFormat="false" ht="15" hidden="false" customHeight="false" outlineLevel="0" collapsed="false">
      <c r="A75" s="7" t="s">
        <v>252</v>
      </c>
      <c r="B75" s="7" t="s">
        <v>253</v>
      </c>
      <c r="C75" s="7" t="s">
        <v>254</v>
      </c>
      <c r="D75" s="7" t="s">
        <v>246</v>
      </c>
      <c r="E75" s="7" t="n">
        <v>2029</v>
      </c>
      <c r="F75" s="8" t="n">
        <v>378</v>
      </c>
      <c r="G75" s="9" t="n">
        <v>1260</v>
      </c>
      <c r="H75" s="10" t="n">
        <v>3150</v>
      </c>
    </row>
    <row r="76" customFormat="false" ht="15" hidden="false" customHeight="false" outlineLevel="0" collapsed="false">
      <c r="A76" s="7" t="s">
        <v>252</v>
      </c>
      <c r="B76" s="7" t="s">
        <v>253</v>
      </c>
      <c r="C76" s="7" t="s">
        <v>254</v>
      </c>
      <c r="D76" s="7" t="s">
        <v>246</v>
      </c>
      <c r="E76" s="7" t="n">
        <v>2030</v>
      </c>
      <c r="F76" s="8" t="n">
        <v>242</v>
      </c>
      <c r="G76" s="9" t="n">
        <v>805</v>
      </c>
      <c r="H76" s="10" t="n">
        <v>2012</v>
      </c>
    </row>
    <row r="77" customFormat="false" ht="15" hidden="false" customHeight="false" outlineLevel="0" collapsed="false">
      <c r="A77" s="7" t="s">
        <v>255</v>
      </c>
      <c r="B77" s="7" t="s">
        <v>256</v>
      </c>
      <c r="C77" s="7" t="s">
        <v>254</v>
      </c>
      <c r="D77" s="7" t="s">
        <v>244</v>
      </c>
      <c r="E77" s="7" t="n">
        <v>2025</v>
      </c>
      <c r="F77" s="8" t="n">
        <v>75</v>
      </c>
      <c r="G77" s="9" t="n">
        <v>250</v>
      </c>
      <c r="H77" s="10" t="n">
        <v>625</v>
      </c>
    </row>
    <row r="78" customFormat="false" ht="15" hidden="false" customHeight="false" outlineLevel="0" collapsed="false">
      <c r="A78" s="7" t="s">
        <v>255</v>
      </c>
      <c r="B78" s="7" t="s">
        <v>256</v>
      </c>
      <c r="C78" s="7" t="s">
        <v>254</v>
      </c>
      <c r="D78" s="7" t="s">
        <v>244</v>
      </c>
      <c r="E78" s="7" t="n">
        <v>2026</v>
      </c>
      <c r="F78" s="8" t="n">
        <v>74</v>
      </c>
      <c r="G78" s="9" t="n">
        <v>248</v>
      </c>
      <c r="H78" s="10" t="n">
        <v>620</v>
      </c>
    </row>
    <row r="79" customFormat="false" ht="15" hidden="false" customHeight="false" outlineLevel="0" collapsed="false">
      <c r="A79" s="7" t="s">
        <v>255</v>
      </c>
      <c r="B79" s="7" t="s">
        <v>256</v>
      </c>
      <c r="C79" s="7" t="s">
        <v>254</v>
      </c>
      <c r="D79" s="7" t="s">
        <v>244</v>
      </c>
      <c r="E79" s="7" t="n">
        <v>2027</v>
      </c>
      <c r="F79" s="8" t="n">
        <v>74</v>
      </c>
      <c r="G79" s="9" t="n">
        <v>245</v>
      </c>
      <c r="H79" s="10" t="n">
        <v>612</v>
      </c>
    </row>
    <row r="80" customFormat="false" ht="15" hidden="false" customHeight="false" outlineLevel="0" collapsed="false">
      <c r="A80" s="7" t="s">
        <v>255</v>
      </c>
      <c r="B80" s="7" t="s">
        <v>256</v>
      </c>
      <c r="C80" s="7" t="s">
        <v>254</v>
      </c>
      <c r="D80" s="7" t="s">
        <v>244</v>
      </c>
      <c r="E80" s="7" t="n">
        <v>2028</v>
      </c>
      <c r="F80" s="8" t="n">
        <v>73</v>
      </c>
      <c r="G80" s="9" t="n">
        <v>242</v>
      </c>
      <c r="H80" s="10" t="n">
        <v>605</v>
      </c>
    </row>
    <row r="81" customFormat="false" ht="15" hidden="false" customHeight="false" outlineLevel="0" collapsed="false">
      <c r="A81" s="7" t="s">
        <v>255</v>
      </c>
      <c r="B81" s="7" t="s">
        <v>256</v>
      </c>
      <c r="C81" s="7" t="s">
        <v>254</v>
      </c>
      <c r="D81" s="7" t="s">
        <v>244</v>
      </c>
      <c r="E81" s="7" t="n">
        <v>2029</v>
      </c>
      <c r="F81" s="8" t="n">
        <v>72</v>
      </c>
      <c r="G81" s="9" t="n">
        <v>240</v>
      </c>
      <c r="H81" s="10" t="n">
        <v>600</v>
      </c>
    </row>
    <row r="82" customFormat="false" ht="15" hidden="false" customHeight="false" outlineLevel="0" collapsed="false">
      <c r="A82" s="7" t="s">
        <v>255</v>
      </c>
      <c r="B82" s="7" t="s">
        <v>256</v>
      </c>
      <c r="C82" s="7" t="s">
        <v>254</v>
      </c>
      <c r="D82" s="7" t="s">
        <v>244</v>
      </c>
      <c r="E82" s="7" t="n">
        <v>2030</v>
      </c>
      <c r="F82" s="8" t="n">
        <v>71</v>
      </c>
      <c r="G82" s="9" t="n">
        <v>238</v>
      </c>
      <c r="H82" s="10" t="n">
        <v>595</v>
      </c>
    </row>
    <row r="83" customFormat="false" ht="15" hidden="false" customHeight="false" outlineLevel="0" collapsed="false">
      <c r="A83" s="7" t="s">
        <v>255</v>
      </c>
      <c r="B83" s="7" t="s">
        <v>256</v>
      </c>
      <c r="C83" s="7" t="s">
        <v>254</v>
      </c>
      <c r="D83" s="7" t="s">
        <v>245</v>
      </c>
      <c r="E83" s="7" t="n">
        <v>2025</v>
      </c>
      <c r="F83" s="8" t="n">
        <v>75</v>
      </c>
      <c r="G83" s="9" t="n">
        <v>250</v>
      </c>
      <c r="H83" s="10" t="n">
        <v>625</v>
      </c>
    </row>
    <row r="84" customFormat="false" ht="15" hidden="false" customHeight="false" outlineLevel="0" collapsed="false">
      <c r="A84" s="7" t="s">
        <v>255</v>
      </c>
      <c r="B84" s="7" t="s">
        <v>256</v>
      </c>
      <c r="C84" s="7" t="s">
        <v>254</v>
      </c>
      <c r="D84" s="7" t="s">
        <v>245</v>
      </c>
      <c r="E84" s="7" t="n">
        <v>2026</v>
      </c>
      <c r="F84" s="8" t="n">
        <v>70</v>
      </c>
      <c r="G84" s="9" t="n">
        <v>235</v>
      </c>
      <c r="H84" s="10" t="n">
        <v>588</v>
      </c>
    </row>
    <row r="85" customFormat="false" ht="15" hidden="false" customHeight="false" outlineLevel="0" collapsed="false">
      <c r="A85" s="7" t="s">
        <v>255</v>
      </c>
      <c r="B85" s="7" t="s">
        <v>256</v>
      </c>
      <c r="C85" s="7" t="s">
        <v>254</v>
      </c>
      <c r="D85" s="7" t="s">
        <v>245</v>
      </c>
      <c r="E85" s="7" t="n">
        <v>2027</v>
      </c>
      <c r="F85" s="8" t="n">
        <v>64</v>
      </c>
      <c r="G85" s="9" t="n">
        <v>215</v>
      </c>
      <c r="H85" s="10" t="n">
        <v>538</v>
      </c>
    </row>
    <row r="86" customFormat="false" ht="15" hidden="false" customHeight="false" outlineLevel="0" collapsed="false">
      <c r="A86" s="7" t="s">
        <v>255</v>
      </c>
      <c r="B86" s="7" t="s">
        <v>256</v>
      </c>
      <c r="C86" s="7" t="s">
        <v>254</v>
      </c>
      <c r="D86" s="7" t="s">
        <v>245</v>
      </c>
      <c r="E86" s="7" t="n">
        <v>2028</v>
      </c>
      <c r="F86" s="8" t="n">
        <v>58</v>
      </c>
      <c r="G86" s="9" t="n">
        <v>192</v>
      </c>
      <c r="H86" s="10" t="n">
        <v>480</v>
      </c>
    </row>
    <row r="87" customFormat="false" ht="15" hidden="false" customHeight="false" outlineLevel="0" collapsed="false">
      <c r="A87" s="7" t="s">
        <v>255</v>
      </c>
      <c r="B87" s="7" t="s">
        <v>256</v>
      </c>
      <c r="C87" s="7" t="s">
        <v>254</v>
      </c>
      <c r="D87" s="7" t="s">
        <v>245</v>
      </c>
      <c r="E87" s="7" t="n">
        <v>2029</v>
      </c>
      <c r="F87" s="8" t="n">
        <v>51</v>
      </c>
      <c r="G87" s="9" t="n">
        <v>170</v>
      </c>
      <c r="H87" s="10" t="n">
        <v>425</v>
      </c>
    </row>
    <row r="88" customFormat="false" ht="15" hidden="false" customHeight="false" outlineLevel="0" collapsed="false">
      <c r="A88" s="7" t="s">
        <v>255</v>
      </c>
      <c r="B88" s="7" t="s">
        <v>256</v>
      </c>
      <c r="C88" s="7" t="s">
        <v>254</v>
      </c>
      <c r="D88" s="7" t="s">
        <v>245</v>
      </c>
      <c r="E88" s="7" t="n">
        <v>2030</v>
      </c>
      <c r="F88" s="8" t="n">
        <v>44</v>
      </c>
      <c r="G88" s="9" t="n">
        <v>145</v>
      </c>
      <c r="H88" s="10" t="n">
        <v>362</v>
      </c>
    </row>
    <row r="89" customFormat="false" ht="15" hidden="false" customHeight="false" outlineLevel="0" collapsed="false">
      <c r="A89" s="7" t="s">
        <v>255</v>
      </c>
      <c r="B89" s="7" t="s">
        <v>256</v>
      </c>
      <c r="C89" s="7" t="s">
        <v>254</v>
      </c>
      <c r="D89" s="7" t="s">
        <v>246</v>
      </c>
      <c r="E89" s="7" t="n">
        <v>2025</v>
      </c>
      <c r="F89" s="8" t="n">
        <v>75</v>
      </c>
      <c r="G89" s="9" t="n">
        <v>250</v>
      </c>
      <c r="H89" s="10" t="n">
        <v>625</v>
      </c>
    </row>
    <row r="90" customFormat="false" ht="15" hidden="false" customHeight="false" outlineLevel="0" collapsed="false">
      <c r="A90" s="7" t="s">
        <v>255</v>
      </c>
      <c r="B90" s="7" t="s">
        <v>256</v>
      </c>
      <c r="C90" s="7" t="s">
        <v>254</v>
      </c>
      <c r="D90" s="7" t="s">
        <v>246</v>
      </c>
      <c r="E90" s="7" t="n">
        <v>2026</v>
      </c>
      <c r="F90" s="8" t="n">
        <v>64</v>
      </c>
      <c r="G90" s="9" t="n">
        <v>212</v>
      </c>
      <c r="H90" s="10" t="n">
        <v>530</v>
      </c>
    </row>
    <row r="91" customFormat="false" ht="15" hidden="false" customHeight="false" outlineLevel="0" collapsed="false">
      <c r="A91" s="7" t="s">
        <v>255</v>
      </c>
      <c r="B91" s="7" t="s">
        <v>256</v>
      </c>
      <c r="C91" s="7" t="s">
        <v>254</v>
      </c>
      <c r="D91" s="7" t="s">
        <v>246</v>
      </c>
      <c r="E91" s="7" t="n">
        <v>2027</v>
      </c>
      <c r="F91" s="8" t="n">
        <v>51</v>
      </c>
      <c r="G91" s="9" t="n">
        <v>170</v>
      </c>
      <c r="H91" s="10" t="n">
        <v>425</v>
      </c>
    </row>
    <row r="92" customFormat="false" ht="15" hidden="false" customHeight="false" outlineLevel="0" collapsed="false">
      <c r="A92" s="7" t="s">
        <v>255</v>
      </c>
      <c r="B92" s="7" t="s">
        <v>256</v>
      </c>
      <c r="C92" s="7" t="s">
        <v>254</v>
      </c>
      <c r="D92" s="7" t="s">
        <v>246</v>
      </c>
      <c r="E92" s="7" t="n">
        <v>2028</v>
      </c>
      <c r="F92" s="8" t="n">
        <v>38</v>
      </c>
      <c r="G92" s="9" t="n">
        <v>128</v>
      </c>
      <c r="H92" s="10" t="n">
        <v>320</v>
      </c>
    </row>
    <row r="93" customFormat="false" ht="15" hidden="false" customHeight="false" outlineLevel="0" collapsed="false">
      <c r="A93" s="7" t="s">
        <v>255</v>
      </c>
      <c r="B93" s="7" t="s">
        <v>256</v>
      </c>
      <c r="C93" s="7" t="s">
        <v>254</v>
      </c>
      <c r="D93" s="7" t="s">
        <v>246</v>
      </c>
      <c r="E93" s="7" t="n">
        <v>2029</v>
      </c>
      <c r="F93" s="8" t="n">
        <v>27</v>
      </c>
      <c r="G93" s="9" t="n">
        <v>90</v>
      </c>
      <c r="H93" s="10" t="n">
        <v>225</v>
      </c>
    </row>
    <row r="94" customFormat="false" ht="15" hidden="false" customHeight="false" outlineLevel="0" collapsed="false">
      <c r="A94" s="7" t="s">
        <v>255</v>
      </c>
      <c r="B94" s="7" t="s">
        <v>256</v>
      </c>
      <c r="C94" s="7" t="s">
        <v>254</v>
      </c>
      <c r="D94" s="7" t="s">
        <v>246</v>
      </c>
      <c r="E94" s="7" t="n">
        <v>2030</v>
      </c>
      <c r="F94" s="8" t="n">
        <v>17</v>
      </c>
      <c r="G94" s="9" t="n">
        <v>58</v>
      </c>
      <c r="H94" s="10" t="n">
        <v>145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259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260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260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260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260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260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260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260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260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260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260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260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260</v>
      </c>
      <c r="C16" s="7" t="s">
        <v>80</v>
      </c>
      <c r="D16" s="7" t="s">
        <v>81</v>
      </c>
      <c r="E16" s="7" t="s">
        <v>64</v>
      </c>
    </row>
    <row r="17" customFormat="false" ht="15" hidden="false" customHeight="false" outlineLevel="0" collapsed="false">
      <c r="A17" s="7" t="s">
        <v>83</v>
      </c>
      <c r="B17" s="7" t="s">
        <v>260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260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260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260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260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260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260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260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260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260</v>
      </c>
      <c r="C26" s="7" t="s">
        <v>114</v>
      </c>
      <c r="D26" s="7" t="s">
        <v>45</v>
      </c>
      <c r="E26" s="7" t="s">
        <v>55</v>
      </c>
    </row>
    <row r="27" customFormat="false" ht="15" hidden="false" customHeight="false" outlineLevel="0" collapsed="false">
      <c r="A27" s="7" t="s">
        <v>119</v>
      </c>
      <c r="B27" s="7" t="s">
        <v>260</v>
      </c>
      <c r="C27" s="7" t="s">
        <v>120</v>
      </c>
      <c r="D27" s="7" t="s">
        <v>121</v>
      </c>
      <c r="E27" s="7" t="s">
        <v>71</v>
      </c>
    </row>
    <row r="28" customFormat="false" ht="15" hidden="false" customHeight="false" outlineLevel="0" collapsed="false">
      <c r="A28" s="7" t="s">
        <v>123</v>
      </c>
      <c r="B28" s="7" t="s">
        <v>260</v>
      </c>
      <c r="C28" s="7" t="s">
        <v>124</v>
      </c>
      <c r="D28" s="7" t="s">
        <v>121</v>
      </c>
      <c r="E28" s="7" t="s">
        <v>71</v>
      </c>
    </row>
    <row r="29" customFormat="false" ht="15" hidden="false" customHeight="false" outlineLevel="0" collapsed="false">
      <c r="A29" s="7" t="s">
        <v>126</v>
      </c>
      <c r="B29" s="7" t="s">
        <v>260</v>
      </c>
      <c r="C29" s="7" t="s">
        <v>127</v>
      </c>
      <c r="D29" s="7" t="s">
        <v>121</v>
      </c>
      <c r="E29" s="7" t="s">
        <v>71</v>
      </c>
    </row>
    <row r="30" customFormat="false" ht="15" hidden="false" customHeight="false" outlineLevel="0" collapsed="false">
      <c r="A30" s="7" t="s">
        <v>130</v>
      </c>
      <c r="B30" s="7" t="s">
        <v>261</v>
      </c>
      <c r="C30" s="7" t="s">
        <v>131</v>
      </c>
      <c r="D30" s="7" t="s">
        <v>132</v>
      </c>
      <c r="E30" s="7" t="s">
        <v>71</v>
      </c>
    </row>
    <row r="31" customFormat="false" ht="15" hidden="false" customHeight="false" outlineLevel="0" collapsed="false">
      <c r="A31" s="7" t="s">
        <v>133</v>
      </c>
      <c r="B31" s="7" t="s">
        <v>261</v>
      </c>
      <c r="C31" s="7" t="s">
        <v>134</v>
      </c>
      <c r="D31" s="7" t="s">
        <v>132</v>
      </c>
      <c r="E31" s="7" t="s">
        <v>64</v>
      </c>
    </row>
    <row r="32" customFormat="false" ht="15" hidden="false" customHeight="false" outlineLevel="0" collapsed="false">
      <c r="A32" s="7" t="s">
        <v>136</v>
      </c>
      <c r="B32" s="7" t="s">
        <v>261</v>
      </c>
      <c r="C32" s="7" t="s">
        <v>137</v>
      </c>
      <c r="D32" s="7" t="s">
        <v>138</v>
      </c>
      <c r="E32" s="7" t="s">
        <v>71</v>
      </c>
    </row>
    <row r="33" customFormat="false" ht="15" hidden="false" customHeight="false" outlineLevel="0" collapsed="false">
      <c r="A33" s="7" t="s">
        <v>139</v>
      </c>
      <c r="B33" s="7" t="s">
        <v>261</v>
      </c>
      <c r="C33" s="7" t="s">
        <v>140</v>
      </c>
      <c r="D33" s="7" t="s">
        <v>132</v>
      </c>
      <c r="E33" s="7" t="s">
        <v>71</v>
      </c>
    </row>
    <row r="34" customFormat="false" ht="15" hidden="false" customHeight="false" outlineLevel="0" collapsed="false">
      <c r="A34" s="7" t="s">
        <v>141</v>
      </c>
      <c r="B34" s="7" t="s">
        <v>261</v>
      </c>
      <c r="C34" s="7" t="s">
        <v>142</v>
      </c>
      <c r="D34" s="7" t="s">
        <v>143</v>
      </c>
      <c r="E34" s="7" t="s">
        <v>71</v>
      </c>
    </row>
    <row r="35" customFormat="false" ht="15" hidden="false" customHeight="false" outlineLevel="0" collapsed="false">
      <c r="A35" s="7" t="s">
        <v>145</v>
      </c>
      <c r="B35" s="7" t="s">
        <v>261</v>
      </c>
      <c r="C35" s="7" t="s">
        <v>146</v>
      </c>
      <c r="D35" s="7" t="s">
        <v>147</v>
      </c>
      <c r="E35" s="7" t="s">
        <v>71</v>
      </c>
    </row>
    <row r="36" customFormat="false" ht="15" hidden="false" customHeight="false" outlineLevel="0" collapsed="false">
      <c r="A36" s="7" t="s">
        <v>148</v>
      </c>
      <c r="B36" s="7" t="s">
        <v>261</v>
      </c>
      <c r="C36" s="7" t="s">
        <v>149</v>
      </c>
      <c r="D36" s="7" t="s">
        <v>150</v>
      </c>
      <c r="E36" s="7" t="s">
        <v>71</v>
      </c>
    </row>
    <row r="37" customFormat="false" ht="15" hidden="false" customHeight="false" outlineLevel="0" collapsed="false">
      <c r="A37" s="7" t="s">
        <v>151</v>
      </c>
      <c r="B37" s="7" t="s">
        <v>261</v>
      </c>
      <c r="C37" s="7" t="s">
        <v>152</v>
      </c>
      <c r="D37" s="7" t="s">
        <v>150</v>
      </c>
      <c r="E37" s="7" t="s">
        <v>71</v>
      </c>
    </row>
    <row r="38" customFormat="false" ht="15" hidden="false" customHeight="false" outlineLevel="0" collapsed="false">
      <c r="A38" s="7" t="s">
        <v>153</v>
      </c>
      <c r="B38" s="7" t="s">
        <v>261</v>
      </c>
      <c r="C38" s="7" t="s">
        <v>154</v>
      </c>
      <c r="D38" s="7" t="s">
        <v>132</v>
      </c>
      <c r="E38" s="7" t="s">
        <v>71</v>
      </c>
    </row>
    <row r="39" customFormat="false" ht="15" hidden="false" customHeight="false" outlineLevel="0" collapsed="false">
      <c r="A39" s="7" t="s">
        <v>155</v>
      </c>
      <c r="B39" s="7" t="s">
        <v>261</v>
      </c>
      <c r="C39" s="7" t="s">
        <v>156</v>
      </c>
      <c r="D39" s="7" t="s">
        <v>157</v>
      </c>
      <c r="E39" s="7" t="s">
        <v>71</v>
      </c>
    </row>
    <row r="40" customFormat="false" ht="15" hidden="false" customHeight="false" outlineLevel="0" collapsed="false">
      <c r="A40" s="7" t="s">
        <v>158</v>
      </c>
      <c r="B40" s="7" t="s">
        <v>261</v>
      </c>
      <c r="C40" s="7" t="s">
        <v>159</v>
      </c>
      <c r="D40" s="7" t="s">
        <v>95</v>
      </c>
      <c r="E40" s="7" t="s">
        <v>96</v>
      </c>
    </row>
    <row r="41" customFormat="false" ht="15" hidden="false" customHeight="false" outlineLevel="0" collapsed="false">
      <c r="A41" s="7" t="s">
        <v>160</v>
      </c>
      <c r="B41" s="7" t="s">
        <v>261</v>
      </c>
      <c r="C41" s="7" t="s">
        <v>161</v>
      </c>
      <c r="D41" s="7" t="s">
        <v>162</v>
      </c>
      <c r="E41" s="7" t="s">
        <v>71</v>
      </c>
    </row>
    <row r="42" customFormat="false" ht="15" hidden="false" customHeight="false" outlineLevel="0" collapsed="false">
      <c r="A42" s="7" t="s">
        <v>163</v>
      </c>
      <c r="B42" s="7" t="s">
        <v>261</v>
      </c>
      <c r="C42" s="7" t="s">
        <v>164</v>
      </c>
      <c r="D42" s="7" t="s">
        <v>95</v>
      </c>
      <c r="E42" s="7" t="s">
        <v>96</v>
      </c>
    </row>
    <row r="43" customFormat="false" ht="15" hidden="false" customHeight="false" outlineLevel="0" collapsed="false">
      <c r="A43" s="7" t="s">
        <v>166</v>
      </c>
      <c r="B43" s="7" t="s">
        <v>261</v>
      </c>
      <c r="C43" s="7" t="s">
        <v>167</v>
      </c>
      <c r="D43" s="7" t="s">
        <v>168</v>
      </c>
      <c r="E43" s="7" t="s">
        <v>71</v>
      </c>
    </row>
    <row r="44" customFormat="false" ht="15" hidden="false" customHeight="false" outlineLevel="0" collapsed="false">
      <c r="A44" s="7" t="s">
        <v>177</v>
      </c>
      <c r="B44" s="7" t="s">
        <v>262</v>
      </c>
      <c r="C44" s="7" t="s">
        <v>178</v>
      </c>
      <c r="D44" s="7" t="s">
        <v>45</v>
      </c>
      <c r="E44" s="7" t="s">
        <v>263</v>
      </c>
    </row>
    <row r="45" customFormat="false" ht="15" hidden="false" customHeight="false" outlineLevel="0" collapsed="false">
      <c r="A45" s="7" t="s">
        <v>185</v>
      </c>
      <c r="B45" s="7" t="s">
        <v>262</v>
      </c>
      <c r="C45" s="7" t="s">
        <v>186</v>
      </c>
      <c r="D45" s="7" t="s">
        <v>45</v>
      </c>
      <c r="E45" s="7" t="s">
        <v>263</v>
      </c>
    </row>
    <row r="46" customFormat="false" ht="15" hidden="false" customHeight="false" outlineLevel="0" collapsed="false">
      <c r="A46" s="7" t="s">
        <v>190</v>
      </c>
      <c r="B46" s="7" t="s">
        <v>262</v>
      </c>
      <c r="C46" s="7" t="s">
        <v>191</v>
      </c>
      <c r="D46" s="7" t="s">
        <v>45</v>
      </c>
      <c r="E46" s="7" t="s">
        <v>263</v>
      </c>
    </row>
    <row r="47" customFormat="false" ht="15" hidden="false" customHeight="false" outlineLevel="0" collapsed="false">
      <c r="A47" s="7" t="s">
        <v>196</v>
      </c>
      <c r="B47" s="7" t="s">
        <v>262</v>
      </c>
      <c r="C47" s="7" t="s">
        <v>197</v>
      </c>
      <c r="D47" s="7" t="s">
        <v>45</v>
      </c>
      <c r="E47" s="7" t="s">
        <v>263</v>
      </c>
    </row>
    <row r="48" customFormat="false" ht="15" hidden="false" customHeight="false" outlineLevel="0" collapsed="false">
      <c r="A48" s="7" t="s">
        <v>202</v>
      </c>
      <c r="B48" s="7" t="s">
        <v>262</v>
      </c>
      <c r="C48" s="7" t="s">
        <v>203</v>
      </c>
      <c r="D48" s="7" t="s">
        <v>45</v>
      </c>
      <c r="E48" s="7" t="s">
        <v>263</v>
      </c>
    </row>
    <row r="49" customFormat="false" ht="15" hidden="false" customHeight="false" outlineLevel="0" collapsed="false">
      <c r="A49" s="7" t="s">
        <v>208</v>
      </c>
      <c r="B49" s="7" t="s">
        <v>262</v>
      </c>
      <c r="C49" s="7" t="s">
        <v>209</v>
      </c>
      <c r="D49" s="7" t="s">
        <v>45</v>
      </c>
      <c r="E49" s="7" t="s">
        <v>263</v>
      </c>
    </row>
    <row r="50" customFormat="false" ht="15" hidden="false" customHeight="false" outlineLevel="0" collapsed="false">
      <c r="A50" s="7" t="s">
        <v>213</v>
      </c>
      <c r="B50" s="7" t="s">
        <v>262</v>
      </c>
      <c r="C50" s="7" t="s">
        <v>214</v>
      </c>
      <c r="D50" s="7" t="s">
        <v>45</v>
      </c>
      <c r="E50" s="7" t="s">
        <v>263</v>
      </c>
    </row>
    <row r="51" customFormat="false" ht="15" hidden="false" customHeight="false" outlineLevel="0" collapsed="false">
      <c r="A51" s="7" t="s">
        <v>217</v>
      </c>
      <c r="B51" s="7" t="s">
        <v>262</v>
      </c>
      <c r="C51" s="7" t="s">
        <v>218</v>
      </c>
      <c r="D51" s="7" t="s">
        <v>45</v>
      </c>
      <c r="E51" s="7" t="s">
        <v>263</v>
      </c>
    </row>
    <row r="52" customFormat="false" ht="15" hidden="false" customHeight="false" outlineLevel="0" collapsed="false">
      <c r="A52" s="7" t="s">
        <v>220</v>
      </c>
      <c r="B52" s="7" t="s">
        <v>262</v>
      </c>
      <c r="C52" s="7" t="s">
        <v>221</v>
      </c>
      <c r="D52" s="7" t="s">
        <v>45</v>
      </c>
      <c r="E52" s="7" t="s">
        <v>263</v>
      </c>
    </row>
    <row r="53" customFormat="false" ht="15" hidden="false" customHeight="false" outlineLevel="0" collapsed="false">
      <c r="A53" s="7" t="s">
        <v>224</v>
      </c>
      <c r="B53" s="7" t="s">
        <v>262</v>
      </c>
      <c r="C53" s="7" t="s">
        <v>225</v>
      </c>
      <c r="D53" s="7" t="s">
        <v>45</v>
      </c>
      <c r="E53" s="7" t="s">
        <v>263</v>
      </c>
    </row>
    <row r="54" customFormat="false" ht="15" hidden="false" customHeight="false" outlineLevel="0" collapsed="false">
      <c r="A54" s="7" t="s">
        <v>227</v>
      </c>
      <c r="B54" s="7" t="s">
        <v>262</v>
      </c>
      <c r="C54" s="7" t="s">
        <v>228</v>
      </c>
      <c r="D54" s="7" t="s">
        <v>45</v>
      </c>
      <c r="E54" s="7" t="s">
        <v>263</v>
      </c>
    </row>
    <row r="55" customFormat="false" ht="15" hidden="false" customHeight="false" outlineLevel="0" collapsed="false">
      <c r="A55" s="7" t="s">
        <v>229</v>
      </c>
      <c r="B55" s="7" t="s">
        <v>262</v>
      </c>
      <c r="C55" s="7" t="s">
        <v>230</v>
      </c>
      <c r="D55" s="7" t="s">
        <v>45</v>
      </c>
      <c r="E55" s="7" t="s">
        <v>263</v>
      </c>
    </row>
    <row r="56" customFormat="false" ht="15" hidden="false" customHeight="false" outlineLevel="0" collapsed="false">
      <c r="A56" s="7" t="s">
        <v>231</v>
      </c>
      <c r="B56" s="7" t="s">
        <v>262</v>
      </c>
      <c r="C56" s="7" t="s">
        <v>232</v>
      </c>
      <c r="D56" s="7" t="s">
        <v>45</v>
      </c>
      <c r="E56" s="7" t="s">
        <v>263</v>
      </c>
    </row>
    <row r="57" customFormat="false" ht="23.85" hidden="false" customHeight="false" outlineLevel="0" collapsed="false">
      <c r="A57" s="7" t="s">
        <v>241</v>
      </c>
      <c r="B57" s="7" t="s">
        <v>264</v>
      </c>
      <c r="C57" s="7" t="s">
        <v>242</v>
      </c>
      <c r="D57" s="7" t="s">
        <v>265</v>
      </c>
      <c r="E57" s="7" t="s">
        <v>266</v>
      </c>
    </row>
    <row r="58" customFormat="false" ht="23.85" hidden="false" customHeight="false" outlineLevel="0" collapsed="false">
      <c r="A58" s="7" t="s">
        <v>247</v>
      </c>
      <c r="B58" s="7" t="s">
        <v>264</v>
      </c>
      <c r="C58" s="7" t="s">
        <v>248</v>
      </c>
      <c r="D58" s="7" t="s">
        <v>265</v>
      </c>
      <c r="E58" s="7" t="s">
        <v>266</v>
      </c>
    </row>
    <row r="59" customFormat="false" ht="23.85" hidden="false" customHeight="false" outlineLevel="0" collapsed="false">
      <c r="A59" s="7" t="s">
        <v>250</v>
      </c>
      <c r="B59" s="7" t="s">
        <v>264</v>
      </c>
      <c r="C59" s="7" t="s">
        <v>251</v>
      </c>
      <c r="D59" s="7" t="s">
        <v>265</v>
      </c>
      <c r="E59" s="7" t="s">
        <v>266</v>
      </c>
    </row>
    <row r="60" customFormat="false" ht="23.85" hidden="false" customHeight="false" outlineLevel="0" collapsed="false">
      <c r="A60" s="7" t="s">
        <v>252</v>
      </c>
      <c r="B60" s="7" t="s">
        <v>264</v>
      </c>
      <c r="C60" s="7" t="s">
        <v>253</v>
      </c>
      <c r="D60" s="7" t="s">
        <v>265</v>
      </c>
      <c r="E60" s="7" t="s">
        <v>266</v>
      </c>
    </row>
    <row r="61" customFormat="false" ht="23.85" hidden="false" customHeight="false" outlineLevel="0" collapsed="false">
      <c r="A61" s="7" t="s">
        <v>255</v>
      </c>
      <c r="B61" s="7" t="s">
        <v>264</v>
      </c>
      <c r="C61" s="7" t="s">
        <v>256</v>
      </c>
      <c r="D61" s="7" t="s">
        <v>265</v>
      </c>
      <c r="E61" s="7" t="s">
        <v>266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