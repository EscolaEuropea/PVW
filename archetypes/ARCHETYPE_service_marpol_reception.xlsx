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<sst xmlns="http://schemas.openxmlformats.org/spreadsheetml/2006/main" count="1051" uniqueCount="242">
  <si>
    <t xml:space="preserve">PVW.one ARCHETYPE — Port Reception Facilities (MARPOL)</t>
  </si>
  <si>
    <t xml:space="preserve">archetype_id: service_marpol_reception · version: 1.0.0 · category: Mandatory Service</t>
  </si>
  <si>
    <t xml:space="preserve">ARCHETYPE METADATA</t>
  </si>
  <si>
    <t xml:space="preserve">archetype_id</t>
  </si>
  <si>
    <t xml:space="preserve">service_marpol_reception</t>
  </si>
  <si>
    <t xml:space="preserve">archetype_name</t>
  </si>
  <si>
    <t xml:space="preserve">Port Reception Facilities (MARPOL)</t>
  </si>
  <si>
    <t xml:space="preserve">archetype_category</t>
  </si>
  <si>
    <t xml:space="preserve">Mandatory Service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</si>
  <si>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</si>
  <si>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</si>
  <si>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</si>
  <si>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</si>
  <si>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</si>
  <si>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archetype_service_marpol_reception.schema.json</t>
  </si>
  <si>
    <t xml:space="preserve">DEFINITION</t>
  </si>
  <si>
    <t xml:space="preserve">Mandatory infrastructure under IMO MARPOL Convention and EU Directive 2019/883: facilities for receiving ship-generated waste (oily residues, NLS, sewage, garbage, EGCS sludge). Operators are licensed concessionaires of the Port Authority. Three operational layers: collection (sea-side barges + land-side trucks), storage (customs-bonded), treatment (waste-to-fuel recovery + recycling).</t>
  </si>
  <si>
    <t xml:space="preserve">SIZE TIERS (the 3 default profiles)</t>
  </si>
  <si>
    <t xml:space="preserve">S — Small</t>
  </si>
  <si>
    <t xml:space="preserve">≤ 30 000 t/year MARPOL · 1 collection barge · single-stream</t>
  </si>
  <si>
    <t xml:space="preserve">M — Medium</t>
  </si>
  <si>
    <t xml:space="preserve">30 000 – 100 000 t/year · 2 collection barges · multi-line treatment</t>
  </si>
  <si>
    <t xml:space="preserve">L — Large</t>
  </si>
  <si>
    <t xml:space="preserve">≥ 100 000 t/year · 2+ barges · vertically integrated recovery + recycling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</si>
  <si>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</si>
  <si>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</si>
  <si>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</si>
  <si>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</si>
  <si>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</si>
  <si>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</si>
  <si>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</si>
  <si>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</si>
  <si>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</si>
  <si>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</si>
  <si>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</si>
  <si>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</si>
  <si>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</si>
  <si>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</si>
  <si>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</si>
  <si>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</si>
  <si>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</si>
  <si>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</si>
  <si>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</si>
  <si>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</si>
  <si>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</si>
  <si>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</si>
  <si>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</si>
  <si>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[PRF operator S]</t>
  </si>
  <si>
    <t xml:space="preserve">[PRF operator M]</t>
  </si>
  <si>
    <t xml:space="preserve">[PRF operator L]</t>
  </si>
  <si>
    <t xml:space="preserve">operator_short_name</t>
  </si>
  <si>
    <t xml:space="preserve">Commercial name</t>
  </si>
  <si>
    <t xml:space="preserve">port_unlocode</t>
  </si>
  <si>
    <t xml:space="preserve">Port (UN/LOCODE)</t>
  </si>
  <si>
    <t xml:space="preserve">enum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</si>
  <si>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</si>
  <si>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</si>
  <si>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</si>
  <si>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</si>
  <si>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parent_group</t>
  </si>
  <si>
    <t xml:space="preserve">Parent group</t>
  </si>
  <si>
    <t xml:space="preserve">Often part of waste-management groups</t>
  </si>
  <si>
    <t xml:space="preserve">first_concession_year</t>
  </si>
  <si>
    <t xml:space="preserve">Year of first concession</t>
  </si>
  <si>
    <t xml:space="preserve">year</t>
  </si>
  <si>
    <t xml:space="preserve">integer</t>
  </si>
  <si>
    <t xml:space="preserve">concession_end_year</t>
  </si>
  <si>
    <t xml:space="preserve">Concession end year</t>
  </si>
  <si>
    <t xml:space="preserve">marpol_annexes_covered</t>
  </si>
  <si>
    <t xml:space="preserve">MARPOL annexes covered</t>
  </si>
  <si>
    <t xml:space="preserve">I, V</t>
  </si>
  <si>
    <t xml:space="preserve">I, II, IV, V</t>
  </si>
  <si>
    <t xml:space="preserve">I, II, IV, V, VI</t>
  </si>
  <si>
    <t xml:space="preserve">I=oily, II=NLS, IV=sewage, V=garbage, VI=air</t>
  </si>
  <si>
    <t xml:space="preserve">hazardous_waste_licensed</t>
  </si>
  <si>
    <t xml:space="preserve">Hazardous waste licence (national)</t>
  </si>
  <si>
    <t xml:space="preserve">bool</t>
  </si>
  <si>
    <t xml:space="preserve">boolean</t>
  </si>
  <si>
    <t xml:space="preserve">annual_marpol_received_t</t>
  </si>
  <si>
    <t xml:space="preserve">Annual MARPOL waste received</t>
  </si>
  <si>
    <t xml:space="preserve">t/year</t>
  </si>
  <si>
    <t xml:space="preserve">annual_ship_deliveries</t>
  </si>
  <si>
    <t xml:space="preserve">Annual ship-deliveries</t>
  </si>
  <si>
    <t xml:space="preserve">deliveries/year</t>
  </si>
  <si>
    <t xml:space="preserve">workforce_total_fte</t>
  </si>
  <si>
    <t xml:space="preserve">Total workforce</t>
  </si>
  <si>
    <t xml:space="preserve">FTE</t>
  </si>
  <si>
    <t xml:space="preserve">size_tier</t>
  </si>
  <si>
    <t xml:space="preserve">Size tier</t>
  </si>
  <si>
    <t xml:space="preserve">S</t>
  </si>
  <si>
    <t xml:space="preserve">M</t>
  </si>
  <si>
    <t xml:space="preserve">L</t>
  </si>
  <si>
    <t xml:space="preserve">isps_certified</t>
  </si>
  <si>
    <t xml:space="preserve">ISPS code certification</t>
  </si>
  <si>
    <t xml:space="preserve">iso_14001</t>
  </si>
  <si>
    <t xml:space="preserve">ISO 14001</t>
  </si>
  <si>
    <t xml:space="preserve">iso_9001</t>
  </si>
  <si>
    <t xml:space="preserve">ISO 9001</t>
  </si>
  <si>
    <t xml:space="preserve">plant_area_m2</t>
  </si>
  <si>
    <t xml:space="preserve">Treatment plant area</t>
  </si>
  <si>
    <t xml:space="preserve">m²</t>
  </si>
  <si>
    <t xml:space="preserve">treatment_capacity_t_yr</t>
  </si>
  <si>
    <t xml:space="preserve">Annual treatment capacity</t>
  </si>
  <si>
    <t xml:space="preserve">storage_capacity_oily_m3</t>
  </si>
  <si>
    <t xml:space="preserve">Storage capacity — oily liquids</t>
  </si>
  <si>
    <t xml:space="preserve">m³</t>
  </si>
  <si>
    <t xml:space="preserve">Equipment — Schema &amp; defaults</t>
  </si>
  <si>
    <t xml:space="preserve">Physical assets and operational capacity.</t>
  </si>
  <si>
    <t xml:space="preserve">marpol_i_ii_barge_qty</t>
  </si>
  <si>
    <t xml:space="preserve">MARPOL I/II collection barges (oily)</t>
  </si>
  <si>
    <t xml:space="preserve">barges</t>
  </si>
  <si>
    <t xml:space="preserve">marpol_v_barge_qty</t>
  </si>
  <si>
    <t xml:space="preserve">MARPOL V collection barges (garbage)</t>
  </si>
  <si>
    <t xml:space="preserve">largest_barge_capacity_m3</t>
  </si>
  <si>
    <t xml:space="preserve">Largest barge capacity</t>
  </si>
  <si>
    <t xml:space="preserve">tank_trucks_adr_qty</t>
  </si>
  <si>
    <t xml:space="preserve">Tank trucks (ADR)</t>
  </si>
  <si>
    <t xml:space="preserve">trucks</t>
  </si>
  <si>
    <t xml:space="preserve">box_trucks_qty</t>
  </si>
  <si>
    <t xml:space="preserve">Box / garbage trucks</t>
  </si>
  <si>
    <t xml:space="preserve">forklifts_cranes_qty</t>
  </si>
  <si>
    <t xml:space="preserve">Forklifts / yard cranes</t>
  </si>
  <si>
    <t xml:space="preserve">machines</t>
  </si>
  <si>
    <t xml:space="preserve">hydrocarbon_line_capacity_t_yr</t>
  </si>
  <si>
    <t xml:space="preserve">Hydrocarbon recovery line capacity</t>
  </si>
  <si>
    <t xml:space="preserve">Recovers IFO 380</t>
  </si>
  <si>
    <t xml:space="preserve">water_line_capacity_t_yr</t>
  </si>
  <si>
    <t xml:space="preserve">Industrial water line capacity</t>
  </si>
  <si>
    <t xml:space="preserve">solid_waste_line_capacity_t_yr</t>
  </si>
  <si>
    <t xml:space="preserve">Solid waste line capacity</t>
  </si>
  <si>
    <t xml:space="preserve">hazardous_recovery_line_capacity_t_yr</t>
  </si>
  <si>
    <t xml:space="preserve">Hazardous recovery line</t>
  </si>
  <si>
    <t xml:space="preserve">wwtp_on_site</t>
  </si>
  <si>
    <t xml:space="preserve">On-site WWTP (industrial water treatment)</t>
  </si>
  <si>
    <t xml:space="preserve">laboratory_on_site</t>
  </si>
  <si>
    <t xml:space="preserve">Laboratory (waste characterisation)</t>
  </si>
  <si>
    <t xml:space="preserve">annual_recovered_ifo_t</t>
  </si>
  <si>
    <t xml:space="preserve">Annual recovered IFO 380</t>
  </si>
  <si>
    <t xml:space="preserve">annual_recycled_materials_t</t>
  </si>
  <si>
    <t xml:space="preserve">Annual recycled materials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</si>
  <si>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</si>
  <si>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</si>
  <si>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</si>
  <si>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</si>
  <si>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</si>
  <si>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</si>
  <si>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</si>
  <si>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</si>
  <si>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cruise_lines_waste_source</t>
  </si>
  <si>
    <t xml:space="preserve">Cruise lines (high-volume waste)</t>
  </si>
  <si>
    <t xml:space="preserve">inbound</t>
  </si>
  <si>
    <t xml:space="preserve">per call</t>
  </si>
  <si>
    <t xml:space="preserve">5 000 t/yr</t>
  </si>
  <si>
    <t xml:space="preserve">30 000 t/yr</t>
  </si>
  <si>
    <t xml:space="preserve">80 000 t/yr</t>
  </si>
  <si>
    <t xml:space="preserve">container_lines_waste_source</t>
  </si>
  <si>
    <t xml:space="preserve">Container lines</t>
  </si>
  <si>
    <t xml:space="preserve">3 000 t/yr</t>
  </si>
  <si>
    <t xml:space="preserve">20 000 t/yr</t>
  </si>
  <si>
    <t xml:space="preserve">55 000 t/yr</t>
  </si>
  <si>
    <t xml:space="preserve">ferry_ropax_waste_source</t>
  </si>
  <si>
    <t xml:space="preserve">Ferry / Ro-Pax</t>
  </si>
  <si>
    <t xml:space="preserve">2 500 t/yr</t>
  </si>
  <si>
    <t xml:space="preserve">15 000 t/yr</t>
  </si>
  <si>
    <t xml:space="preserve">tankers_waste_source</t>
  </si>
  <si>
    <t xml:space="preserve">Tankers (slops critical)</t>
  </si>
  <si>
    <t xml:space="preserve">1 500 t/yr</t>
  </si>
  <si>
    <t xml:space="preserve">8 000 t/yr</t>
  </si>
  <si>
    <t xml:space="preserve">25 000 t/yr</t>
  </si>
  <si>
    <t xml:space="preserve">bunker_market_offtaker</t>
  </si>
  <si>
    <t xml:space="preserve">Bunker market (recovered IFO)</t>
  </si>
  <si>
    <t xml:space="preserve">outbound</t>
  </si>
  <si>
    <t xml:space="preserve">continuous</t>
  </si>
  <si>
    <t xml:space="preserve">1-2</t>
  </si>
  <si>
    <t xml:space="preserve">2-5</t>
  </si>
  <si>
    <t xml:space="preserve">5+</t>
  </si>
  <si>
    <t xml:space="preserve">Major revenue stream</t>
  </si>
  <si>
    <t xml:space="preserve">recycler_paper_plastic</t>
  </si>
  <si>
    <t xml:space="preserve">Recyclers (paper/plastic/metal)</t>
  </si>
  <si>
    <t xml:space="preserve">5-10</t>
  </si>
  <si>
    <t xml:space="preserve">10+</t>
  </si>
  <si>
    <t xml:space="preserve">incinerator</t>
  </si>
  <si>
    <t xml:space="preserve">Waste-to-energy / incinerator</t>
  </si>
  <si>
    <t xml:space="preserve">1</t>
  </si>
  <si>
    <t xml:space="preserve">port_authority</t>
  </si>
  <si>
    <t xml:space="preserve">Port authority</t>
  </si>
  <si>
    <t xml:space="preserve">regulator</t>
  </si>
  <si>
    <t xml:space="preserve">harbour_master</t>
  </si>
  <si>
    <t xml:space="preserve">Harbour Master (MARPOL inspection)</t>
  </si>
  <si>
    <t xml:space="preserve">per delivery</t>
  </si>
  <si>
    <t xml:space="preserve">national_environment_authority</t>
  </si>
  <si>
    <t xml:space="preserve">National environment authority</t>
  </si>
  <si>
    <t xml:space="preserve">annual</t>
  </si>
  <si>
    <t xml:space="preserve">emsa_safesseanet_waste</t>
  </si>
  <si>
    <t xml:space="preserve">EMSA SafeSeaNet waste module</t>
  </si>
  <si>
    <t xml:space="preserve">digital</t>
  </si>
  <si>
    <t xml:space="preserve">EU 2019/883 PRR</t>
  </si>
  <si>
    <t xml:space="preserve">customs_authority</t>
  </si>
  <si>
    <t xml:space="preserve">Customs (bonded waste)</t>
  </si>
  <si>
    <t xml:space="preserve">ship_agent</t>
  </si>
  <si>
    <t xml:space="preserve">Ship agent (booking)</t>
  </si>
  <si>
    <t xml:space="preserve">service</t>
  </si>
  <si>
    <t xml:space="preserve">many</t>
  </si>
  <si>
    <t xml:space="preserve">pcs_operator</t>
  </si>
  <si>
    <t xml:space="preserve">Port Community System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</si>
  <si>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</si>
  <si>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</si>
  <si>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</si>
  <si>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</si>
  <si>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</si>
  <si>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</si>
  <si>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</si>
  <si>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</si>
  <si>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plant_electricity</t>
  </si>
  <si>
    <t xml:space="preserve">Plant electricity</t>
  </si>
  <si>
    <t xml:space="preserve">scope_2</t>
  </si>
  <si>
    <t xml:space="preserve">BAU</t>
  </si>
  <si>
    <t xml:space="preserve">FuelEU+AFIR</t>
  </si>
  <si>
    <t xml:space="preserve">Accelerated</t>
  </si>
  <si>
    <t xml:space="preserve">plant_heat_process</t>
  </si>
  <si>
    <t xml:space="preserve">Plant heat (process)</t>
  </si>
  <si>
    <t xml:space="preserve">scope_1+2</t>
  </si>
  <si>
    <t xml:space="preserve">collection_barges_mgo</t>
  </si>
  <si>
    <t xml:space="preserve">Collection barges (MGO)</t>
  </si>
  <si>
    <t xml:space="preserve">scope_1</t>
  </si>
  <si>
    <t xml:space="preserve">truck_fleet_fuel</t>
  </si>
  <si>
    <t xml:space="preserve">Tank truck + box truck fleet</t>
  </si>
  <si>
    <t xml:space="preserve">yard_equipment_diesel</t>
  </si>
  <si>
    <t xml:space="preserve">Forklifts / yard equipment</t>
  </si>
  <si>
    <t xml:space="preserve">incineration_residue_offsite</t>
  </si>
  <si>
    <t xml:space="preserve">Incineration of residue (attributed)</t>
  </si>
  <si>
    <t xml:space="preserve">scope_3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</si>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</sst>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46.2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/>
    </row>
    <row r="6" customFormat="false" ht="15" hidden="false" customHeight="false" outlineLevel="0" collapsed="false">
      <c r="A6" s="7" t="s">
        <v>50</v>
      </c>
      <c r="B6" s="7" t="s">
        <v>51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52</v>
      </c>
      <c r="B7" s="7" t="s">
        <v>53</v>
      </c>
      <c r="C7" s="7" t="s">
        <v>45</v>
      </c>
      <c r="D7" s="7" t="s">
        <v>54</v>
      </c>
      <c r="E7" s="8" t="s">
        <v>45</v>
      </c>
      <c r="F7" s="9" t="s">
        <v>45</v>
      </c>
      <c r="G7" s="10" t="s">
        <v>45</v>
      </c>
      <c r="H7" s="7"/>
    </row>
    <row r="8" customFormat="false" ht="15" hidden="false" customHeight="false" outlineLevel="0" collapsed="false">
      <c r="A8" s="7" t="s">
        <v>55</v>
      </c>
      <c r="B8" s="7" t="s">
        <v>56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57</v>
      </c>
      <c r="B9" s="7" t="s">
        <v>58</v>
      </c>
      <c r="C9" s="7" t="s">
        <v>45</v>
      </c>
      <c r="D9" s="7" t="s">
        <v>54</v>
      </c>
      <c r="E9" s="8" t="s">
        <v>45</v>
      </c>
      <c r="F9" s="9" t="s">
        <v>45</v>
      </c>
      <c r="G9" s="10" t="s">
        <v>45</v>
      </c>
      <c r="H9" s="7"/>
    </row>
    <row r="10" customFormat="false" ht="15" hidden="false" customHeight="false" outlineLevel="0" collapsed="false">
      <c r="A10" s="7" t="s">
        <v>59</v>
      </c>
      <c r="B10" s="7" t="s">
        <v>60</v>
      </c>
      <c r="C10" s="7" t="s">
        <v>45</v>
      </c>
      <c r="D10" s="7" t="s">
        <v>46</v>
      </c>
      <c r="E10" s="8" t="s">
        <v>45</v>
      </c>
      <c r="F10" s="9" t="s">
        <v>45</v>
      </c>
      <c r="G10" s="10" t="s">
        <v>45</v>
      </c>
      <c r="H10" s="7" t="s">
        <v>61</v>
      </c>
    </row>
    <row r="11" customFormat="false" ht="15" hidden="false" customHeight="false" outlineLevel="0" collapsed="false">
      <c r="A11" s="7" t="s">
        <v>62</v>
      </c>
      <c r="B11" s="7" t="s">
        <v>63</v>
      </c>
      <c r="C11" s="7" t="s">
        <v>64</v>
      </c>
      <c r="D11" s="7" t="s">
        <v>65</v>
      </c>
      <c r="E11" s="8" t="s">
        <v>45</v>
      </c>
      <c r="F11" s="9" t="s">
        <v>45</v>
      </c>
      <c r="G11" s="10" t="s">
        <v>45</v>
      </c>
      <c r="H11" s="7"/>
    </row>
    <row r="12" customFormat="false" ht="15" hidden="false" customHeight="false" outlineLevel="0" collapsed="false">
      <c r="A12" s="7" t="s">
        <v>66</v>
      </c>
      <c r="B12" s="7" t="s">
        <v>67</v>
      </c>
      <c r="C12" s="7" t="s">
        <v>64</v>
      </c>
      <c r="D12" s="7" t="s">
        <v>65</v>
      </c>
      <c r="E12" s="8" t="s">
        <v>45</v>
      </c>
      <c r="F12" s="9" t="s">
        <v>45</v>
      </c>
      <c r="G12" s="10" t="s">
        <v>45</v>
      </c>
      <c r="H12" s="7"/>
    </row>
    <row r="13" customFormat="false" ht="23.85" hidden="false" customHeight="false" outlineLevel="0" collapsed="false">
      <c r="A13" s="7" t="s">
        <v>68</v>
      </c>
      <c r="B13" s="7" t="s">
        <v>69</v>
      </c>
      <c r="C13" s="7" t="s">
        <v>45</v>
      </c>
      <c r="D13" s="7" t="s">
        <v>46</v>
      </c>
      <c r="E13" s="8" t="s">
        <v>70</v>
      </c>
      <c r="F13" s="9" t="s">
        <v>71</v>
      </c>
      <c r="G13" s="10" t="s">
        <v>72</v>
      </c>
      <c r="H13" s="7" t="s">
        <v>73</v>
      </c>
    </row>
    <row r="14" customFormat="false" ht="15" hidden="false" customHeight="false" outlineLevel="0" collapsed="false">
      <c r="A14" s="7" t="s">
        <v>74</v>
      </c>
      <c r="B14" s="7" t="s">
        <v>75</v>
      </c>
      <c r="C14" s="7" t="s">
        <v>76</v>
      </c>
      <c r="D14" s="7" t="s">
        <v>77</v>
      </c>
      <c r="E14" s="11" t="b">
        <f aca="false">FALSE()</f>
        <v>0</v>
      </c>
      <c r="F14" s="12" t="b">
        <f aca="false">TRUE()</f>
        <v>1</v>
      </c>
      <c r="G14" s="13" t="b">
        <f aca="false">TRUE()</f>
        <v>1</v>
      </c>
      <c r="H14" s="7"/>
    </row>
    <row r="15" customFormat="false" ht="15" hidden="false" customHeight="false" outlineLevel="0" collapsed="false">
      <c r="A15" s="7" t="s">
        <v>78</v>
      </c>
      <c r="B15" s="7" t="s">
        <v>79</v>
      </c>
      <c r="C15" s="7" t="s">
        <v>80</v>
      </c>
      <c r="D15" s="7" t="s">
        <v>65</v>
      </c>
      <c r="E15" s="8" t="n">
        <v>18000</v>
      </c>
      <c r="F15" s="9" t="n">
        <v>60000</v>
      </c>
      <c r="G15" s="10" t="n">
        <v>180000</v>
      </c>
      <c r="H15" s="7"/>
    </row>
    <row r="16" customFormat="false" ht="23.85" hidden="false" customHeight="false" outlineLevel="0" collapsed="false">
      <c r="A16" s="7" t="s">
        <v>81</v>
      </c>
      <c r="B16" s="7" t="s">
        <v>82</v>
      </c>
      <c r="C16" s="7" t="s">
        <v>83</v>
      </c>
      <c r="D16" s="7" t="s">
        <v>65</v>
      </c>
      <c r="E16" s="8" t="n">
        <v>1800</v>
      </c>
      <c r="F16" s="9" t="n">
        <v>4000</v>
      </c>
      <c r="G16" s="10" t="n">
        <v>9000</v>
      </c>
      <c r="H16" s="7"/>
    </row>
    <row r="17" customFormat="false" ht="15" hidden="false" customHeight="false" outlineLevel="0" collapsed="false">
      <c r="A17" s="7" t="s">
        <v>84</v>
      </c>
      <c r="B17" s="7" t="s">
        <v>85</v>
      </c>
      <c r="C17" s="7" t="s">
        <v>86</v>
      </c>
      <c r="D17" s="7" t="s">
        <v>65</v>
      </c>
      <c r="E17" s="8" t="n">
        <v>25</v>
      </c>
      <c r="F17" s="9" t="n">
        <v>60</v>
      </c>
      <c r="G17" s="10" t="n">
        <v>130</v>
      </c>
      <c r="H17" s="7"/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45</v>
      </c>
      <c r="D18" s="7" t="s">
        <v>54</v>
      </c>
      <c r="E18" s="8" t="s">
        <v>89</v>
      </c>
      <c r="F18" s="9" t="s">
        <v>90</v>
      </c>
      <c r="G18" s="10" t="s">
        <v>91</v>
      </c>
      <c r="H18" s="7"/>
    </row>
    <row r="19" customFormat="false" ht="15" hidden="false" customHeight="false" outlineLevel="0" collapsed="false">
      <c r="A19" s="7" t="s">
        <v>92</v>
      </c>
      <c r="B19" s="7" t="s">
        <v>93</v>
      </c>
      <c r="C19" s="7" t="s">
        <v>76</v>
      </c>
      <c r="D19" s="7" t="s">
        <v>77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  <row r="20" customFormat="false" ht="15" hidden="false" customHeight="false" outlineLevel="0" collapsed="false">
      <c r="A20" s="7" t="s">
        <v>94</v>
      </c>
      <c r="B20" s="7" t="s">
        <v>95</v>
      </c>
      <c r="C20" s="7" t="s">
        <v>76</v>
      </c>
      <c r="D20" s="7" t="s">
        <v>77</v>
      </c>
      <c r="E20" s="11" t="b">
        <f aca="false">TRUE()</f>
        <v>1</v>
      </c>
      <c r="F20" s="12" t="b">
        <f aca="false">TRUE()</f>
        <v>1</v>
      </c>
      <c r="G20" s="13" t="b">
        <f aca="false">TRUE()</f>
        <v>1</v>
      </c>
      <c r="H20" s="7"/>
    </row>
    <row r="21" customFormat="false" ht="15" hidden="false" customHeight="false" outlineLevel="0" collapsed="false">
      <c r="A21" s="7" t="s">
        <v>96</v>
      </c>
      <c r="B21" s="7" t="s">
        <v>97</v>
      </c>
      <c r="C21" s="7" t="s">
        <v>76</v>
      </c>
      <c r="D21" s="7" t="s">
        <v>77</v>
      </c>
      <c r="E21" s="11" t="b">
        <f aca="false">TRUE()</f>
        <v>1</v>
      </c>
      <c r="F21" s="12" t="b">
        <f aca="false">TRUE()</f>
        <v>1</v>
      </c>
      <c r="G21" s="13" t="b">
        <f aca="false">TRUE()</f>
        <v>1</v>
      </c>
      <c r="H21" s="7"/>
    </row>
    <row r="22" customFormat="false" ht="15" hidden="false" customHeight="false" outlineLevel="0" collapsed="false">
      <c r="A22" s="7" t="s">
        <v>98</v>
      </c>
      <c r="B22" s="7" t="s">
        <v>99</v>
      </c>
      <c r="C22" s="7" t="s">
        <v>100</v>
      </c>
      <c r="D22" s="7" t="s">
        <v>65</v>
      </c>
      <c r="E22" s="8" t="n">
        <v>5000</v>
      </c>
      <c r="F22" s="9" t="n">
        <v>15000</v>
      </c>
      <c r="G22" s="10" t="n">
        <v>40000</v>
      </c>
      <c r="H22" s="7"/>
    </row>
    <row r="23" customFormat="false" ht="15" hidden="false" customHeight="false" outlineLevel="0" collapsed="false">
      <c r="A23" s="7" t="s">
        <v>101</v>
      </c>
      <c r="B23" s="7" t="s">
        <v>102</v>
      </c>
      <c r="C23" s="7" t="s">
        <v>80</v>
      </c>
      <c r="D23" s="7" t="s">
        <v>65</v>
      </c>
      <c r="E23" s="8" t="n">
        <v>35000</v>
      </c>
      <c r="F23" s="9" t="n">
        <v>110000</v>
      </c>
      <c r="G23" s="10" t="n">
        <v>250000</v>
      </c>
      <c r="H23" s="7"/>
    </row>
    <row r="24" customFormat="false" ht="15" hidden="false" customHeight="false" outlineLevel="0" collapsed="false">
      <c r="A24" s="7" t="s">
        <v>103</v>
      </c>
      <c r="B24" s="7" t="s">
        <v>104</v>
      </c>
      <c r="C24" s="7" t="s">
        <v>105</v>
      </c>
      <c r="D24" s="7" t="s">
        <v>65</v>
      </c>
      <c r="E24" s="8" t="n">
        <v>1000</v>
      </c>
      <c r="F24" s="9" t="n">
        <v>3500</v>
      </c>
      <c r="G24" s="10" t="n">
        <v>12000</v>
      </c>
      <c r="H24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108</v>
      </c>
      <c r="B5" s="7" t="s">
        <v>109</v>
      </c>
      <c r="C5" s="7" t="s">
        <v>110</v>
      </c>
      <c r="D5" s="7" t="s">
        <v>65</v>
      </c>
      <c r="E5" s="8" t="n">
        <v>1</v>
      </c>
      <c r="F5" s="9" t="n">
        <v>1</v>
      </c>
      <c r="G5" s="10" t="n">
        <v>2</v>
      </c>
      <c r="H5" s="7"/>
    </row>
    <row r="6" customFormat="false" ht="15" hidden="false" customHeight="false" outlineLevel="0" collapsed="false">
      <c r="A6" s="7" t="s">
        <v>111</v>
      </c>
      <c r="B6" s="7" t="s">
        <v>112</v>
      </c>
      <c r="C6" s="7" t="s">
        <v>110</v>
      </c>
      <c r="D6" s="7" t="s">
        <v>65</v>
      </c>
      <c r="E6" s="8" t="n">
        <v>0</v>
      </c>
      <c r="F6" s="9" t="n">
        <v>1</v>
      </c>
      <c r="G6" s="10" t="n">
        <v>2</v>
      </c>
      <c r="H6" s="7"/>
    </row>
    <row r="7" customFormat="false" ht="15" hidden="false" customHeight="false" outlineLevel="0" collapsed="false">
      <c r="A7" s="7" t="s">
        <v>113</v>
      </c>
      <c r="B7" s="7" t="s">
        <v>114</v>
      </c>
      <c r="C7" s="7" t="s">
        <v>105</v>
      </c>
      <c r="D7" s="7" t="s">
        <v>65</v>
      </c>
      <c r="E7" s="8" t="n">
        <v>100</v>
      </c>
      <c r="F7" s="9" t="n">
        <v>230</v>
      </c>
      <c r="G7" s="10" t="n">
        <v>500</v>
      </c>
      <c r="H7" s="7"/>
    </row>
    <row r="8" customFormat="false" ht="15" hidden="false" customHeight="false" outlineLevel="0" collapsed="false">
      <c r="A8" s="7" t="s">
        <v>115</v>
      </c>
      <c r="B8" s="7" t="s">
        <v>116</v>
      </c>
      <c r="C8" s="7" t="s">
        <v>117</v>
      </c>
      <c r="D8" s="7" t="s">
        <v>65</v>
      </c>
      <c r="E8" s="8" t="n">
        <v>2</v>
      </c>
      <c r="F8" s="9" t="n">
        <v>4</v>
      </c>
      <c r="G8" s="10" t="n">
        <v>10</v>
      </c>
      <c r="H8" s="7"/>
    </row>
    <row r="9" customFormat="false" ht="15" hidden="false" customHeight="false" outlineLevel="0" collapsed="false">
      <c r="A9" s="7" t="s">
        <v>118</v>
      </c>
      <c r="B9" s="7" t="s">
        <v>119</v>
      </c>
      <c r="C9" s="7" t="s">
        <v>117</v>
      </c>
      <c r="D9" s="7" t="s">
        <v>65</v>
      </c>
      <c r="E9" s="8" t="n">
        <v>2</v>
      </c>
      <c r="F9" s="9" t="n">
        <v>6</v>
      </c>
      <c r="G9" s="10" t="n">
        <v>14</v>
      </c>
      <c r="H9" s="7"/>
    </row>
    <row r="10" customFormat="false" ht="15" hidden="false" customHeight="false" outlineLevel="0" collapsed="false">
      <c r="A10" s="7" t="s">
        <v>120</v>
      </c>
      <c r="B10" s="7" t="s">
        <v>121</v>
      </c>
      <c r="C10" s="7" t="s">
        <v>122</v>
      </c>
      <c r="D10" s="7" t="s">
        <v>65</v>
      </c>
      <c r="E10" s="8" t="n">
        <v>1</v>
      </c>
      <c r="F10" s="9" t="n">
        <v>3</v>
      </c>
      <c r="G10" s="10" t="n">
        <v>8</v>
      </c>
      <c r="H10" s="7"/>
    </row>
    <row r="11" customFormat="false" ht="15" hidden="false" customHeight="false" outlineLevel="0" collapsed="false">
      <c r="A11" s="7" t="s">
        <v>123</v>
      </c>
      <c r="B11" s="7" t="s">
        <v>124</v>
      </c>
      <c r="C11" s="7" t="s">
        <v>80</v>
      </c>
      <c r="D11" s="7" t="s">
        <v>65</v>
      </c>
      <c r="E11" s="8" t="n">
        <v>18000</v>
      </c>
      <c r="F11" s="9" t="n">
        <v>50000</v>
      </c>
      <c r="G11" s="10" t="n">
        <v>130000</v>
      </c>
      <c r="H11" s="7" t="s">
        <v>125</v>
      </c>
    </row>
    <row r="12" customFormat="false" ht="15" hidden="false" customHeight="false" outlineLevel="0" collapsed="false">
      <c r="A12" s="7" t="s">
        <v>126</v>
      </c>
      <c r="B12" s="7" t="s">
        <v>127</v>
      </c>
      <c r="C12" s="7" t="s">
        <v>80</v>
      </c>
      <c r="D12" s="7" t="s">
        <v>65</v>
      </c>
      <c r="E12" s="8" t="n">
        <v>8000</v>
      </c>
      <c r="F12" s="9" t="n">
        <v>25000</v>
      </c>
      <c r="G12" s="10" t="n">
        <v>70000</v>
      </c>
      <c r="H12" s="7"/>
    </row>
    <row r="13" customFormat="false" ht="15" hidden="false" customHeight="false" outlineLevel="0" collapsed="false">
      <c r="A13" s="7" t="s">
        <v>128</v>
      </c>
      <c r="B13" s="7" t="s">
        <v>129</v>
      </c>
      <c r="C13" s="7" t="s">
        <v>80</v>
      </c>
      <c r="D13" s="7" t="s">
        <v>65</v>
      </c>
      <c r="E13" s="8" t="n">
        <v>5000</v>
      </c>
      <c r="F13" s="9" t="n">
        <v>15000</v>
      </c>
      <c r="G13" s="10" t="n">
        <v>40000</v>
      </c>
      <c r="H13" s="7"/>
    </row>
    <row r="14" customFormat="false" ht="15" hidden="false" customHeight="false" outlineLevel="0" collapsed="false">
      <c r="A14" s="7" t="s">
        <v>130</v>
      </c>
      <c r="B14" s="7" t="s">
        <v>131</v>
      </c>
      <c r="C14" s="7" t="s">
        <v>80</v>
      </c>
      <c r="D14" s="7" t="s">
        <v>65</v>
      </c>
      <c r="E14" s="8" t="n">
        <v>0</v>
      </c>
      <c r="F14" s="9" t="n">
        <v>5000</v>
      </c>
      <c r="G14" s="10" t="n">
        <v>15000</v>
      </c>
      <c r="H14" s="7"/>
    </row>
    <row r="15" customFormat="false" ht="23.85" hidden="false" customHeight="false" outlineLevel="0" collapsed="false">
      <c r="A15" s="7" t="s">
        <v>132</v>
      </c>
      <c r="B15" s="7" t="s">
        <v>133</v>
      </c>
      <c r="C15" s="7" t="s">
        <v>76</v>
      </c>
      <c r="D15" s="7" t="s">
        <v>77</v>
      </c>
      <c r="E15" s="11" t="b">
        <f aca="false">FALSE()</f>
        <v>0</v>
      </c>
      <c r="F15" s="12" t="b">
        <f aca="false">TRUE()</f>
        <v>1</v>
      </c>
      <c r="G15" s="13" t="b">
        <f aca="false">TRUE()</f>
        <v>1</v>
      </c>
      <c r="H15" s="7"/>
    </row>
    <row r="16" customFormat="false" ht="15" hidden="false" customHeight="false" outlineLevel="0" collapsed="false">
      <c r="A16" s="7" t="s">
        <v>134</v>
      </c>
      <c r="B16" s="7" t="s">
        <v>135</v>
      </c>
      <c r="C16" s="7" t="s">
        <v>76</v>
      </c>
      <c r="D16" s="7" t="s">
        <v>77</v>
      </c>
      <c r="E16" s="11" t="b">
        <f aca="false">TRUE()</f>
        <v>1</v>
      </c>
      <c r="F16" s="12" t="b">
        <f aca="false">TRUE()</f>
        <v>1</v>
      </c>
      <c r="G16" s="13" t="b">
        <f aca="false">TRUE()</f>
        <v>1</v>
      </c>
      <c r="H16" s="7"/>
    </row>
    <row r="17" customFormat="false" ht="15" hidden="false" customHeight="false" outlineLevel="0" collapsed="false">
      <c r="A17" s="7" t="s">
        <v>136</v>
      </c>
      <c r="B17" s="7" t="s">
        <v>137</v>
      </c>
      <c r="C17" s="7" t="s">
        <v>80</v>
      </c>
      <c r="D17" s="7" t="s">
        <v>65</v>
      </c>
      <c r="E17" s="8" t="n">
        <v>4000</v>
      </c>
      <c r="F17" s="9" t="n">
        <v>18000</v>
      </c>
      <c r="G17" s="10" t="n">
        <v>50000</v>
      </c>
      <c r="H17" s="7"/>
    </row>
    <row r="18" customFormat="false" ht="15" hidden="false" customHeight="false" outlineLevel="0" collapsed="false">
      <c r="A18" s="7" t="s">
        <v>138</v>
      </c>
      <c r="B18" s="7" t="s">
        <v>139</v>
      </c>
      <c r="C18" s="7" t="s">
        <v>80</v>
      </c>
      <c r="D18" s="7" t="s">
        <v>65</v>
      </c>
      <c r="E18" s="8" t="n">
        <v>1500</v>
      </c>
      <c r="F18" s="9" t="n">
        <v>6000</v>
      </c>
      <c r="G18" s="10" t="n">
        <v>18000</v>
      </c>
      <c r="H18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140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141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142</v>
      </c>
      <c r="B4" s="6" t="s">
        <v>36</v>
      </c>
      <c r="C4" s="6" t="s">
        <v>143</v>
      </c>
      <c r="D4" s="6" t="s">
        <v>144</v>
      </c>
      <c r="E4" s="6" t="s">
        <v>145</v>
      </c>
      <c r="F4" s="6" t="s">
        <v>146</v>
      </c>
      <c r="G4" s="6" t="s">
        <v>147</v>
      </c>
      <c r="H4" s="6" t="s">
        <v>42</v>
      </c>
    </row>
    <row r="5" customFormat="false" ht="15" hidden="false" customHeight="false" outlineLevel="0" collapsed="false">
      <c r="A5" s="7" t="s">
        <v>148</v>
      </c>
      <c r="B5" s="7" t="s">
        <v>149</v>
      </c>
      <c r="C5" s="7" t="s">
        <v>150</v>
      </c>
      <c r="D5" s="7" t="s">
        <v>151</v>
      </c>
      <c r="E5" s="8" t="s">
        <v>152</v>
      </c>
      <c r="F5" s="9" t="s">
        <v>153</v>
      </c>
      <c r="G5" s="10" t="s">
        <v>154</v>
      </c>
      <c r="H5" s="7"/>
    </row>
    <row r="6" customFormat="false" ht="15" hidden="false" customHeight="false" outlineLevel="0" collapsed="false">
      <c r="A6" s="7" t="s">
        <v>155</v>
      </c>
      <c r="B6" s="7" t="s">
        <v>156</v>
      </c>
      <c r="C6" s="7" t="s">
        <v>150</v>
      </c>
      <c r="D6" s="7" t="s">
        <v>151</v>
      </c>
      <c r="E6" s="8" t="s">
        <v>157</v>
      </c>
      <c r="F6" s="9" t="s">
        <v>158</v>
      </c>
      <c r="G6" s="10" t="s">
        <v>159</v>
      </c>
      <c r="H6" s="7"/>
    </row>
    <row r="7" customFormat="false" ht="15" hidden="false" customHeight="false" outlineLevel="0" collapsed="false">
      <c r="A7" s="7" t="s">
        <v>160</v>
      </c>
      <c r="B7" s="7" t="s">
        <v>161</v>
      </c>
      <c r="C7" s="7" t="s">
        <v>150</v>
      </c>
      <c r="D7" s="7" t="s">
        <v>151</v>
      </c>
      <c r="E7" s="8" t="s">
        <v>162</v>
      </c>
      <c r="F7" s="9" t="s">
        <v>163</v>
      </c>
      <c r="G7" s="10" t="s">
        <v>153</v>
      </c>
      <c r="H7" s="7"/>
    </row>
    <row r="8" customFormat="false" ht="15" hidden="false" customHeight="false" outlineLevel="0" collapsed="false">
      <c r="A8" s="7" t="s">
        <v>164</v>
      </c>
      <c r="B8" s="7" t="s">
        <v>165</v>
      </c>
      <c r="C8" s="7" t="s">
        <v>150</v>
      </c>
      <c r="D8" s="7" t="s">
        <v>151</v>
      </c>
      <c r="E8" s="8" t="s">
        <v>166</v>
      </c>
      <c r="F8" s="9" t="s">
        <v>167</v>
      </c>
      <c r="G8" s="10" t="s">
        <v>168</v>
      </c>
      <c r="H8" s="7"/>
    </row>
    <row r="9" customFormat="false" ht="15" hidden="false" customHeight="false" outlineLevel="0" collapsed="false">
      <c r="A9" s="7" t="s">
        <v>169</v>
      </c>
      <c r="B9" s="7" t="s">
        <v>170</v>
      </c>
      <c r="C9" s="7" t="s">
        <v>171</v>
      </c>
      <c r="D9" s="7" t="s">
        <v>172</v>
      </c>
      <c r="E9" s="8" t="s">
        <v>173</v>
      </c>
      <c r="F9" s="9" t="s">
        <v>174</v>
      </c>
      <c r="G9" s="10" t="s">
        <v>175</v>
      </c>
      <c r="H9" s="7" t="s">
        <v>176</v>
      </c>
    </row>
    <row r="10" customFormat="false" ht="15" hidden="false" customHeight="false" outlineLevel="0" collapsed="false">
      <c r="A10" s="7" t="s">
        <v>177</v>
      </c>
      <c r="B10" s="7" t="s">
        <v>178</v>
      </c>
      <c r="C10" s="7" t="s">
        <v>171</v>
      </c>
      <c r="D10" s="7" t="s">
        <v>172</v>
      </c>
      <c r="E10" s="8" t="s">
        <v>174</v>
      </c>
      <c r="F10" s="9" t="s">
        <v>179</v>
      </c>
      <c r="G10" s="10" t="s">
        <v>180</v>
      </c>
      <c r="H10" s="7"/>
    </row>
    <row r="11" customFormat="false" ht="15" hidden="false" customHeight="false" outlineLevel="0" collapsed="false">
      <c r="A11" s="7" t="s">
        <v>181</v>
      </c>
      <c r="B11" s="7" t="s">
        <v>182</v>
      </c>
      <c r="C11" s="7" t="s">
        <v>171</v>
      </c>
      <c r="D11" s="7" t="s">
        <v>172</v>
      </c>
      <c r="E11" s="8" t="s">
        <v>183</v>
      </c>
      <c r="F11" s="9" t="s">
        <v>183</v>
      </c>
      <c r="G11" s="10" t="s">
        <v>173</v>
      </c>
      <c r="H11" s="7"/>
    </row>
    <row r="12" customFormat="false" ht="15" hidden="false" customHeight="false" outlineLevel="0" collapsed="false">
      <c r="A12" s="7" t="s">
        <v>184</v>
      </c>
      <c r="B12" s="7" t="s">
        <v>185</v>
      </c>
      <c r="C12" s="7" t="s">
        <v>186</v>
      </c>
      <c r="D12" s="7" t="s">
        <v>172</v>
      </c>
      <c r="E12" s="8" t="s">
        <v>183</v>
      </c>
      <c r="F12" s="9" t="s">
        <v>183</v>
      </c>
      <c r="G12" s="10" t="s">
        <v>183</v>
      </c>
      <c r="H12" s="7"/>
    </row>
    <row r="13" customFormat="false" ht="15" hidden="false" customHeight="false" outlineLevel="0" collapsed="false">
      <c r="A13" s="7" t="s">
        <v>187</v>
      </c>
      <c r="B13" s="7" t="s">
        <v>188</v>
      </c>
      <c r="C13" s="7" t="s">
        <v>186</v>
      </c>
      <c r="D13" s="7" t="s">
        <v>189</v>
      </c>
      <c r="E13" s="8" t="s">
        <v>183</v>
      </c>
      <c r="F13" s="9" t="s">
        <v>183</v>
      </c>
      <c r="G13" s="10" t="s">
        <v>183</v>
      </c>
      <c r="H13" s="7"/>
    </row>
    <row r="14" customFormat="false" ht="15" hidden="false" customHeight="false" outlineLevel="0" collapsed="false">
      <c r="A14" s="7" t="s">
        <v>190</v>
      </c>
      <c r="B14" s="7" t="s">
        <v>191</v>
      </c>
      <c r="C14" s="7" t="s">
        <v>186</v>
      </c>
      <c r="D14" s="7" t="s">
        <v>192</v>
      </c>
      <c r="E14" s="8" t="s">
        <v>183</v>
      </c>
      <c r="F14" s="9" t="s">
        <v>183</v>
      </c>
      <c r="G14" s="10" t="s">
        <v>183</v>
      </c>
      <c r="H14" s="7"/>
    </row>
    <row r="15" customFormat="false" ht="15" hidden="false" customHeight="false" outlineLevel="0" collapsed="false">
      <c r="A15" s="7" t="s">
        <v>193</v>
      </c>
      <c r="B15" s="7" t="s">
        <v>194</v>
      </c>
      <c r="C15" s="7" t="s">
        <v>195</v>
      </c>
      <c r="D15" s="7" t="s">
        <v>151</v>
      </c>
      <c r="E15" s="8" t="s">
        <v>183</v>
      </c>
      <c r="F15" s="9" t="s">
        <v>183</v>
      </c>
      <c r="G15" s="10" t="s">
        <v>183</v>
      </c>
      <c r="H15" s="7" t="s">
        <v>196</v>
      </c>
    </row>
    <row r="16" customFormat="false" ht="15" hidden="false" customHeight="false" outlineLevel="0" collapsed="false">
      <c r="A16" s="7" t="s">
        <v>197</v>
      </c>
      <c r="B16" s="7" t="s">
        <v>198</v>
      </c>
      <c r="C16" s="7" t="s">
        <v>186</v>
      </c>
      <c r="D16" s="7" t="s">
        <v>172</v>
      </c>
      <c r="E16" s="8" t="s">
        <v>183</v>
      </c>
      <c r="F16" s="9" t="s">
        <v>183</v>
      </c>
      <c r="G16" s="10" t="s">
        <v>183</v>
      </c>
      <c r="H16" s="7"/>
    </row>
    <row r="17" customFormat="false" ht="15" hidden="false" customHeight="false" outlineLevel="0" collapsed="false">
      <c r="A17" s="7" t="s">
        <v>199</v>
      </c>
      <c r="B17" s="7" t="s">
        <v>200</v>
      </c>
      <c r="C17" s="7" t="s">
        <v>201</v>
      </c>
      <c r="D17" s="7" t="s">
        <v>151</v>
      </c>
      <c r="E17" s="8" t="s">
        <v>202</v>
      </c>
      <c r="F17" s="9" t="s">
        <v>202</v>
      </c>
      <c r="G17" s="10" t="s">
        <v>202</v>
      </c>
      <c r="H17" s="7"/>
    </row>
    <row r="18" customFormat="false" ht="15" hidden="false" customHeight="false" outlineLevel="0" collapsed="false">
      <c r="A18" s="7" t="s">
        <v>203</v>
      </c>
      <c r="B18" s="7" t="s">
        <v>204</v>
      </c>
      <c r="C18" s="7" t="s">
        <v>195</v>
      </c>
      <c r="D18" s="7" t="s">
        <v>172</v>
      </c>
      <c r="E18" s="8" t="s">
        <v>183</v>
      </c>
      <c r="F18" s="9" t="s">
        <v>183</v>
      </c>
      <c r="G18" s="10" t="s">
        <v>183</v>
      </c>
      <c r="H18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205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206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207</v>
      </c>
      <c r="B4" s="6" t="s">
        <v>36</v>
      </c>
      <c r="C4" s="6" t="s">
        <v>208</v>
      </c>
      <c r="D4" s="6" t="s">
        <v>209</v>
      </c>
      <c r="E4" s="6" t="s">
        <v>64</v>
      </c>
      <c r="F4" s="6" t="s">
        <v>210</v>
      </c>
      <c r="G4" s="6" t="s">
        <v>211</v>
      </c>
      <c r="H4" s="6" t="s">
        <v>212</v>
      </c>
    </row>
    <row r="5" customFormat="false" ht="15" hidden="false" customHeight="false" outlineLevel="0" collapsed="false">
      <c r="A5" s="7" t="s">
        <v>213</v>
      </c>
      <c r="B5" s="7" t="s">
        <v>214</v>
      </c>
      <c r="C5" s="7" t="s">
        <v>215</v>
      </c>
      <c r="D5" s="7" t="s">
        <v>216</v>
      </c>
      <c r="E5" s="7" t="n">
        <v>2025</v>
      </c>
      <c r="F5" s="8" t="n">
        <v>360</v>
      </c>
      <c r="G5" s="9" t="n">
        <v>1200</v>
      </c>
      <c r="H5" s="10" t="n">
        <v>3000</v>
      </c>
    </row>
    <row r="6" customFormat="false" ht="15" hidden="false" customHeight="false" outlineLevel="0" collapsed="false">
      <c r="A6" s="7" t="s">
        <v>213</v>
      </c>
      <c r="B6" s="7" t="s">
        <v>214</v>
      </c>
      <c r="C6" s="7" t="s">
        <v>215</v>
      </c>
      <c r="D6" s="7" t="s">
        <v>216</v>
      </c>
      <c r="E6" s="7" t="n">
        <v>2026</v>
      </c>
      <c r="F6" s="8" t="n">
        <v>356</v>
      </c>
      <c r="G6" s="9" t="n">
        <v>1188</v>
      </c>
      <c r="H6" s="10" t="n">
        <v>2970</v>
      </c>
    </row>
    <row r="7" customFormat="false" ht="15" hidden="false" customHeight="false" outlineLevel="0" collapsed="false">
      <c r="A7" s="7" t="s">
        <v>213</v>
      </c>
      <c r="B7" s="7" t="s">
        <v>214</v>
      </c>
      <c r="C7" s="7" t="s">
        <v>215</v>
      </c>
      <c r="D7" s="7" t="s">
        <v>216</v>
      </c>
      <c r="E7" s="7" t="n">
        <v>2027</v>
      </c>
      <c r="F7" s="8" t="n">
        <v>353</v>
      </c>
      <c r="G7" s="9" t="n">
        <v>1176</v>
      </c>
      <c r="H7" s="10" t="n">
        <v>2940</v>
      </c>
    </row>
    <row r="8" customFormat="false" ht="15" hidden="false" customHeight="false" outlineLevel="0" collapsed="false">
      <c r="A8" s="7" t="s">
        <v>213</v>
      </c>
      <c r="B8" s="7" t="s">
        <v>214</v>
      </c>
      <c r="C8" s="7" t="s">
        <v>215</v>
      </c>
      <c r="D8" s="7" t="s">
        <v>216</v>
      </c>
      <c r="E8" s="7" t="n">
        <v>2028</v>
      </c>
      <c r="F8" s="8" t="n">
        <v>349</v>
      </c>
      <c r="G8" s="9" t="n">
        <v>1164</v>
      </c>
      <c r="H8" s="10" t="n">
        <v>2910</v>
      </c>
    </row>
    <row r="9" customFormat="false" ht="15" hidden="false" customHeight="false" outlineLevel="0" collapsed="false">
      <c r="A9" s="7" t="s">
        <v>213</v>
      </c>
      <c r="B9" s="7" t="s">
        <v>214</v>
      </c>
      <c r="C9" s="7" t="s">
        <v>215</v>
      </c>
      <c r="D9" s="7" t="s">
        <v>216</v>
      </c>
      <c r="E9" s="7" t="n">
        <v>2029</v>
      </c>
      <c r="F9" s="8" t="n">
        <v>346</v>
      </c>
      <c r="G9" s="9" t="n">
        <v>1152</v>
      </c>
      <c r="H9" s="10" t="n">
        <v>2880</v>
      </c>
    </row>
    <row r="10" customFormat="false" ht="15" hidden="false" customHeight="false" outlineLevel="0" collapsed="false">
      <c r="A10" s="7" t="s">
        <v>213</v>
      </c>
      <c r="B10" s="7" t="s">
        <v>214</v>
      </c>
      <c r="C10" s="7" t="s">
        <v>215</v>
      </c>
      <c r="D10" s="7" t="s">
        <v>216</v>
      </c>
      <c r="E10" s="7" t="n">
        <v>2030</v>
      </c>
      <c r="F10" s="8" t="n">
        <v>342</v>
      </c>
      <c r="G10" s="9" t="n">
        <v>1140</v>
      </c>
      <c r="H10" s="10" t="n">
        <v>2850</v>
      </c>
    </row>
    <row r="11" customFormat="false" ht="15" hidden="false" customHeight="false" outlineLevel="0" collapsed="false">
      <c r="A11" s="7" t="s">
        <v>213</v>
      </c>
      <c r="B11" s="7" t="s">
        <v>214</v>
      </c>
      <c r="C11" s="7" t="s">
        <v>215</v>
      </c>
      <c r="D11" s="7" t="s">
        <v>217</v>
      </c>
      <c r="E11" s="7" t="n">
        <v>2025</v>
      </c>
      <c r="F11" s="8" t="n">
        <v>360</v>
      </c>
      <c r="G11" s="9" t="n">
        <v>1200</v>
      </c>
      <c r="H11" s="10" t="n">
        <v>3000</v>
      </c>
    </row>
    <row r="12" customFormat="false" ht="15" hidden="false" customHeight="false" outlineLevel="0" collapsed="false">
      <c r="A12" s="7" t="s">
        <v>213</v>
      </c>
      <c r="B12" s="7" t="s">
        <v>214</v>
      </c>
      <c r="C12" s="7" t="s">
        <v>215</v>
      </c>
      <c r="D12" s="7" t="s">
        <v>217</v>
      </c>
      <c r="E12" s="7" t="n">
        <v>2026</v>
      </c>
      <c r="F12" s="8" t="n">
        <v>338</v>
      </c>
      <c r="G12" s="9" t="n">
        <v>1128</v>
      </c>
      <c r="H12" s="10" t="n">
        <v>2820</v>
      </c>
    </row>
    <row r="13" customFormat="false" ht="15" hidden="false" customHeight="false" outlineLevel="0" collapsed="false">
      <c r="A13" s="7" t="s">
        <v>213</v>
      </c>
      <c r="B13" s="7" t="s">
        <v>214</v>
      </c>
      <c r="C13" s="7" t="s">
        <v>215</v>
      </c>
      <c r="D13" s="7" t="s">
        <v>217</v>
      </c>
      <c r="E13" s="7" t="n">
        <v>2027</v>
      </c>
      <c r="F13" s="8" t="n">
        <v>310</v>
      </c>
      <c r="G13" s="9" t="n">
        <v>1032</v>
      </c>
      <c r="H13" s="10" t="n">
        <v>2580</v>
      </c>
    </row>
    <row r="14" customFormat="false" ht="15" hidden="false" customHeight="false" outlineLevel="0" collapsed="false">
      <c r="A14" s="7" t="s">
        <v>213</v>
      </c>
      <c r="B14" s="7" t="s">
        <v>214</v>
      </c>
      <c r="C14" s="7" t="s">
        <v>215</v>
      </c>
      <c r="D14" s="7" t="s">
        <v>217</v>
      </c>
      <c r="E14" s="7" t="n">
        <v>2028</v>
      </c>
      <c r="F14" s="8" t="n">
        <v>277</v>
      </c>
      <c r="G14" s="9" t="n">
        <v>924</v>
      </c>
      <c r="H14" s="10" t="n">
        <v>2310</v>
      </c>
    </row>
    <row r="15" customFormat="false" ht="15" hidden="false" customHeight="false" outlineLevel="0" collapsed="false">
      <c r="A15" s="7" t="s">
        <v>213</v>
      </c>
      <c r="B15" s="7" t="s">
        <v>214</v>
      </c>
      <c r="C15" s="7" t="s">
        <v>215</v>
      </c>
      <c r="D15" s="7" t="s">
        <v>217</v>
      </c>
      <c r="E15" s="7" t="n">
        <v>2029</v>
      </c>
      <c r="F15" s="8" t="n">
        <v>245</v>
      </c>
      <c r="G15" s="9" t="n">
        <v>816</v>
      </c>
      <c r="H15" s="10" t="n">
        <v>2040</v>
      </c>
    </row>
    <row r="16" customFormat="false" ht="15" hidden="false" customHeight="false" outlineLevel="0" collapsed="false">
      <c r="A16" s="7" t="s">
        <v>213</v>
      </c>
      <c r="B16" s="7" t="s">
        <v>214</v>
      </c>
      <c r="C16" s="7" t="s">
        <v>215</v>
      </c>
      <c r="D16" s="7" t="s">
        <v>217</v>
      </c>
      <c r="E16" s="7" t="n">
        <v>2030</v>
      </c>
      <c r="F16" s="8" t="n">
        <v>209</v>
      </c>
      <c r="G16" s="9" t="n">
        <v>696</v>
      </c>
      <c r="H16" s="10" t="n">
        <v>1740</v>
      </c>
    </row>
    <row r="17" customFormat="false" ht="15" hidden="false" customHeight="false" outlineLevel="0" collapsed="false">
      <c r="A17" s="7" t="s">
        <v>213</v>
      </c>
      <c r="B17" s="7" t="s">
        <v>214</v>
      </c>
      <c r="C17" s="7" t="s">
        <v>215</v>
      </c>
      <c r="D17" s="7" t="s">
        <v>218</v>
      </c>
      <c r="E17" s="7" t="n">
        <v>2025</v>
      </c>
      <c r="F17" s="8" t="n">
        <v>360</v>
      </c>
      <c r="G17" s="9" t="n">
        <v>1200</v>
      </c>
      <c r="H17" s="10" t="n">
        <v>3000</v>
      </c>
    </row>
    <row r="18" customFormat="false" ht="15" hidden="false" customHeight="false" outlineLevel="0" collapsed="false">
      <c r="A18" s="7" t="s">
        <v>213</v>
      </c>
      <c r="B18" s="7" t="s">
        <v>214</v>
      </c>
      <c r="C18" s="7" t="s">
        <v>215</v>
      </c>
      <c r="D18" s="7" t="s">
        <v>218</v>
      </c>
      <c r="E18" s="7" t="n">
        <v>2026</v>
      </c>
      <c r="F18" s="8" t="n">
        <v>306</v>
      </c>
      <c r="G18" s="9" t="n">
        <v>1020</v>
      </c>
      <c r="H18" s="10" t="n">
        <v>2550</v>
      </c>
    </row>
    <row r="19" customFormat="false" ht="15" hidden="false" customHeight="false" outlineLevel="0" collapsed="false">
      <c r="A19" s="7" t="s">
        <v>213</v>
      </c>
      <c r="B19" s="7" t="s">
        <v>214</v>
      </c>
      <c r="C19" s="7" t="s">
        <v>215</v>
      </c>
      <c r="D19" s="7" t="s">
        <v>218</v>
      </c>
      <c r="E19" s="7" t="n">
        <v>2027</v>
      </c>
      <c r="F19" s="8" t="n">
        <v>245</v>
      </c>
      <c r="G19" s="9" t="n">
        <v>816</v>
      </c>
      <c r="H19" s="10" t="n">
        <v>2040</v>
      </c>
    </row>
    <row r="20" customFormat="false" ht="15" hidden="false" customHeight="false" outlineLevel="0" collapsed="false">
      <c r="A20" s="7" t="s">
        <v>213</v>
      </c>
      <c r="B20" s="7" t="s">
        <v>214</v>
      </c>
      <c r="C20" s="7" t="s">
        <v>215</v>
      </c>
      <c r="D20" s="7" t="s">
        <v>218</v>
      </c>
      <c r="E20" s="7" t="n">
        <v>2028</v>
      </c>
      <c r="F20" s="8" t="n">
        <v>184</v>
      </c>
      <c r="G20" s="9" t="n">
        <v>612</v>
      </c>
      <c r="H20" s="10" t="n">
        <v>1530</v>
      </c>
    </row>
    <row r="21" customFormat="false" ht="15" hidden="false" customHeight="false" outlineLevel="0" collapsed="false">
      <c r="A21" s="7" t="s">
        <v>213</v>
      </c>
      <c r="B21" s="7" t="s">
        <v>214</v>
      </c>
      <c r="C21" s="7" t="s">
        <v>215</v>
      </c>
      <c r="D21" s="7" t="s">
        <v>218</v>
      </c>
      <c r="E21" s="7" t="n">
        <v>2029</v>
      </c>
      <c r="F21" s="8" t="n">
        <v>130</v>
      </c>
      <c r="G21" s="9" t="n">
        <v>432</v>
      </c>
      <c r="H21" s="10" t="n">
        <v>1080</v>
      </c>
    </row>
    <row r="22" customFormat="false" ht="15" hidden="false" customHeight="false" outlineLevel="0" collapsed="false">
      <c r="A22" s="7" t="s">
        <v>213</v>
      </c>
      <c r="B22" s="7" t="s">
        <v>214</v>
      </c>
      <c r="C22" s="7" t="s">
        <v>215</v>
      </c>
      <c r="D22" s="7" t="s">
        <v>218</v>
      </c>
      <c r="E22" s="7" t="n">
        <v>2030</v>
      </c>
      <c r="F22" s="8" t="n">
        <v>83</v>
      </c>
      <c r="G22" s="9" t="n">
        <v>276</v>
      </c>
      <c r="H22" s="10" t="n">
        <v>690</v>
      </c>
    </row>
    <row r="23" customFormat="false" ht="23.85" hidden="false" customHeight="false" outlineLevel="0" collapsed="false">
      <c r="A23" s="7" t="s">
        <v>219</v>
      </c>
      <c r="B23" s="7" t="s">
        <v>220</v>
      </c>
      <c r="C23" s="7" t="s">
        <v>221</v>
      </c>
      <c r="D23" s="7" t="s">
        <v>216</v>
      </c>
      <c r="E23" s="7" t="n">
        <v>2025</v>
      </c>
      <c r="F23" s="8" t="n">
        <v>240</v>
      </c>
      <c r="G23" s="9" t="n">
        <v>800</v>
      </c>
      <c r="H23" s="10" t="n">
        <v>2000</v>
      </c>
    </row>
    <row r="24" customFormat="false" ht="23.85" hidden="false" customHeight="false" outlineLevel="0" collapsed="false">
      <c r="A24" s="7" t="s">
        <v>219</v>
      </c>
      <c r="B24" s="7" t="s">
        <v>220</v>
      </c>
      <c r="C24" s="7" t="s">
        <v>221</v>
      </c>
      <c r="D24" s="7" t="s">
        <v>216</v>
      </c>
      <c r="E24" s="7" t="n">
        <v>2026</v>
      </c>
      <c r="F24" s="8" t="n">
        <v>238</v>
      </c>
      <c r="G24" s="9" t="n">
        <v>792</v>
      </c>
      <c r="H24" s="10" t="n">
        <v>1980</v>
      </c>
    </row>
    <row r="25" customFormat="false" ht="23.85" hidden="false" customHeight="false" outlineLevel="0" collapsed="false">
      <c r="A25" s="7" t="s">
        <v>219</v>
      </c>
      <c r="B25" s="7" t="s">
        <v>220</v>
      </c>
      <c r="C25" s="7" t="s">
        <v>221</v>
      </c>
      <c r="D25" s="7" t="s">
        <v>216</v>
      </c>
      <c r="E25" s="7" t="n">
        <v>2027</v>
      </c>
      <c r="F25" s="8" t="n">
        <v>235</v>
      </c>
      <c r="G25" s="9" t="n">
        <v>784</v>
      </c>
      <c r="H25" s="10" t="n">
        <v>1960</v>
      </c>
    </row>
    <row r="26" customFormat="false" ht="23.85" hidden="false" customHeight="false" outlineLevel="0" collapsed="false">
      <c r="A26" s="7" t="s">
        <v>219</v>
      </c>
      <c r="B26" s="7" t="s">
        <v>220</v>
      </c>
      <c r="C26" s="7" t="s">
        <v>221</v>
      </c>
      <c r="D26" s="7" t="s">
        <v>216</v>
      </c>
      <c r="E26" s="7" t="n">
        <v>2028</v>
      </c>
      <c r="F26" s="8" t="n">
        <v>233</v>
      </c>
      <c r="G26" s="9" t="n">
        <v>776</v>
      </c>
      <c r="H26" s="10" t="n">
        <v>1940</v>
      </c>
    </row>
    <row r="27" customFormat="false" ht="23.85" hidden="false" customHeight="false" outlineLevel="0" collapsed="false">
      <c r="A27" s="7" t="s">
        <v>219</v>
      </c>
      <c r="B27" s="7" t="s">
        <v>220</v>
      </c>
      <c r="C27" s="7" t="s">
        <v>221</v>
      </c>
      <c r="D27" s="7" t="s">
        <v>216</v>
      </c>
      <c r="E27" s="7" t="n">
        <v>2029</v>
      </c>
      <c r="F27" s="8" t="n">
        <v>230</v>
      </c>
      <c r="G27" s="9" t="n">
        <v>768</v>
      </c>
      <c r="H27" s="10" t="n">
        <v>1920</v>
      </c>
    </row>
    <row r="28" customFormat="false" ht="23.85" hidden="false" customHeight="false" outlineLevel="0" collapsed="false">
      <c r="A28" s="7" t="s">
        <v>219</v>
      </c>
      <c r="B28" s="7" t="s">
        <v>220</v>
      </c>
      <c r="C28" s="7" t="s">
        <v>221</v>
      </c>
      <c r="D28" s="7" t="s">
        <v>216</v>
      </c>
      <c r="E28" s="7" t="n">
        <v>2030</v>
      </c>
      <c r="F28" s="8" t="n">
        <v>228</v>
      </c>
      <c r="G28" s="9" t="n">
        <v>760</v>
      </c>
      <c r="H28" s="10" t="n">
        <v>1900</v>
      </c>
    </row>
    <row r="29" customFormat="false" ht="23.85" hidden="false" customHeight="false" outlineLevel="0" collapsed="false">
      <c r="A29" s="7" t="s">
        <v>219</v>
      </c>
      <c r="B29" s="7" t="s">
        <v>220</v>
      </c>
      <c r="C29" s="7" t="s">
        <v>221</v>
      </c>
      <c r="D29" s="7" t="s">
        <v>217</v>
      </c>
      <c r="E29" s="7" t="n">
        <v>2025</v>
      </c>
      <c r="F29" s="8" t="n">
        <v>240</v>
      </c>
      <c r="G29" s="9" t="n">
        <v>800</v>
      </c>
      <c r="H29" s="10" t="n">
        <v>2000</v>
      </c>
    </row>
    <row r="30" customFormat="false" ht="23.85" hidden="false" customHeight="false" outlineLevel="0" collapsed="false">
      <c r="A30" s="7" t="s">
        <v>219</v>
      </c>
      <c r="B30" s="7" t="s">
        <v>220</v>
      </c>
      <c r="C30" s="7" t="s">
        <v>221</v>
      </c>
      <c r="D30" s="7" t="s">
        <v>217</v>
      </c>
      <c r="E30" s="7" t="n">
        <v>2026</v>
      </c>
      <c r="F30" s="8" t="n">
        <v>226</v>
      </c>
      <c r="G30" s="9" t="n">
        <v>752</v>
      </c>
      <c r="H30" s="10" t="n">
        <v>1880</v>
      </c>
    </row>
    <row r="31" customFormat="false" ht="23.85" hidden="false" customHeight="false" outlineLevel="0" collapsed="false">
      <c r="A31" s="7" t="s">
        <v>219</v>
      </c>
      <c r="B31" s="7" t="s">
        <v>220</v>
      </c>
      <c r="C31" s="7" t="s">
        <v>221</v>
      </c>
      <c r="D31" s="7" t="s">
        <v>217</v>
      </c>
      <c r="E31" s="7" t="n">
        <v>2027</v>
      </c>
      <c r="F31" s="8" t="n">
        <v>206</v>
      </c>
      <c r="G31" s="9" t="n">
        <v>688</v>
      </c>
      <c r="H31" s="10" t="n">
        <v>1720</v>
      </c>
    </row>
    <row r="32" customFormat="false" ht="23.85" hidden="false" customHeight="false" outlineLevel="0" collapsed="false">
      <c r="A32" s="7" t="s">
        <v>219</v>
      </c>
      <c r="B32" s="7" t="s">
        <v>220</v>
      </c>
      <c r="C32" s="7" t="s">
        <v>221</v>
      </c>
      <c r="D32" s="7" t="s">
        <v>217</v>
      </c>
      <c r="E32" s="7" t="n">
        <v>2028</v>
      </c>
      <c r="F32" s="8" t="n">
        <v>185</v>
      </c>
      <c r="G32" s="9" t="n">
        <v>616</v>
      </c>
      <c r="H32" s="10" t="n">
        <v>1540</v>
      </c>
    </row>
    <row r="33" customFormat="false" ht="23.85" hidden="false" customHeight="false" outlineLevel="0" collapsed="false">
      <c r="A33" s="7" t="s">
        <v>219</v>
      </c>
      <c r="B33" s="7" t="s">
        <v>220</v>
      </c>
      <c r="C33" s="7" t="s">
        <v>221</v>
      </c>
      <c r="D33" s="7" t="s">
        <v>217</v>
      </c>
      <c r="E33" s="7" t="n">
        <v>2029</v>
      </c>
      <c r="F33" s="8" t="n">
        <v>163</v>
      </c>
      <c r="G33" s="9" t="n">
        <v>544</v>
      </c>
      <c r="H33" s="10" t="n">
        <v>1360</v>
      </c>
    </row>
    <row r="34" customFormat="false" ht="23.85" hidden="false" customHeight="false" outlineLevel="0" collapsed="false">
      <c r="A34" s="7" t="s">
        <v>219</v>
      </c>
      <c r="B34" s="7" t="s">
        <v>220</v>
      </c>
      <c r="C34" s="7" t="s">
        <v>221</v>
      </c>
      <c r="D34" s="7" t="s">
        <v>217</v>
      </c>
      <c r="E34" s="7" t="n">
        <v>2030</v>
      </c>
      <c r="F34" s="8" t="n">
        <v>139</v>
      </c>
      <c r="G34" s="9" t="n">
        <v>464</v>
      </c>
      <c r="H34" s="10" t="n">
        <v>1160</v>
      </c>
    </row>
    <row r="35" customFormat="false" ht="23.85" hidden="false" customHeight="false" outlineLevel="0" collapsed="false">
      <c r="A35" s="7" t="s">
        <v>219</v>
      </c>
      <c r="B35" s="7" t="s">
        <v>220</v>
      </c>
      <c r="C35" s="7" t="s">
        <v>221</v>
      </c>
      <c r="D35" s="7" t="s">
        <v>218</v>
      </c>
      <c r="E35" s="7" t="n">
        <v>2025</v>
      </c>
      <c r="F35" s="8" t="n">
        <v>240</v>
      </c>
      <c r="G35" s="9" t="n">
        <v>800</v>
      </c>
      <c r="H35" s="10" t="n">
        <v>2000</v>
      </c>
    </row>
    <row r="36" customFormat="false" ht="23.85" hidden="false" customHeight="false" outlineLevel="0" collapsed="false">
      <c r="A36" s="7" t="s">
        <v>219</v>
      </c>
      <c r="B36" s="7" t="s">
        <v>220</v>
      </c>
      <c r="C36" s="7" t="s">
        <v>221</v>
      </c>
      <c r="D36" s="7" t="s">
        <v>218</v>
      </c>
      <c r="E36" s="7" t="n">
        <v>2026</v>
      </c>
      <c r="F36" s="8" t="n">
        <v>204</v>
      </c>
      <c r="G36" s="9" t="n">
        <v>680</v>
      </c>
      <c r="H36" s="10" t="n">
        <v>1700</v>
      </c>
    </row>
    <row r="37" customFormat="false" ht="23.85" hidden="false" customHeight="false" outlineLevel="0" collapsed="false">
      <c r="A37" s="7" t="s">
        <v>219</v>
      </c>
      <c r="B37" s="7" t="s">
        <v>220</v>
      </c>
      <c r="C37" s="7" t="s">
        <v>221</v>
      </c>
      <c r="D37" s="7" t="s">
        <v>218</v>
      </c>
      <c r="E37" s="7" t="n">
        <v>2027</v>
      </c>
      <c r="F37" s="8" t="n">
        <v>163</v>
      </c>
      <c r="G37" s="9" t="n">
        <v>544</v>
      </c>
      <c r="H37" s="10" t="n">
        <v>1360</v>
      </c>
    </row>
    <row r="38" customFormat="false" ht="23.85" hidden="false" customHeight="false" outlineLevel="0" collapsed="false">
      <c r="A38" s="7" t="s">
        <v>219</v>
      </c>
      <c r="B38" s="7" t="s">
        <v>220</v>
      </c>
      <c r="C38" s="7" t="s">
        <v>221</v>
      </c>
      <c r="D38" s="7" t="s">
        <v>218</v>
      </c>
      <c r="E38" s="7" t="n">
        <v>2028</v>
      </c>
      <c r="F38" s="8" t="n">
        <v>122</v>
      </c>
      <c r="G38" s="9" t="n">
        <v>408</v>
      </c>
      <c r="H38" s="10" t="n">
        <v>1020</v>
      </c>
    </row>
    <row r="39" customFormat="false" ht="23.85" hidden="false" customHeight="false" outlineLevel="0" collapsed="false">
      <c r="A39" s="7" t="s">
        <v>219</v>
      </c>
      <c r="B39" s="7" t="s">
        <v>220</v>
      </c>
      <c r="C39" s="7" t="s">
        <v>221</v>
      </c>
      <c r="D39" s="7" t="s">
        <v>218</v>
      </c>
      <c r="E39" s="7" t="n">
        <v>2029</v>
      </c>
      <c r="F39" s="8" t="n">
        <v>86</v>
      </c>
      <c r="G39" s="9" t="n">
        <v>288</v>
      </c>
      <c r="H39" s="10" t="n">
        <v>720</v>
      </c>
    </row>
    <row r="40" customFormat="false" ht="23.85" hidden="false" customHeight="false" outlineLevel="0" collapsed="false">
      <c r="A40" s="7" t="s">
        <v>219</v>
      </c>
      <c r="B40" s="7" t="s">
        <v>220</v>
      </c>
      <c r="C40" s="7" t="s">
        <v>221</v>
      </c>
      <c r="D40" s="7" t="s">
        <v>218</v>
      </c>
      <c r="E40" s="7" t="n">
        <v>2030</v>
      </c>
      <c r="F40" s="8" t="n">
        <v>55</v>
      </c>
      <c r="G40" s="9" t="n">
        <v>184</v>
      </c>
      <c r="H40" s="10" t="n">
        <v>460</v>
      </c>
    </row>
    <row r="41" customFormat="false" ht="15" hidden="false" customHeight="false" outlineLevel="0" collapsed="false">
      <c r="A41" s="7" t="s">
        <v>222</v>
      </c>
      <c r="B41" s="7" t="s">
        <v>223</v>
      </c>
      <c r="C41" s="7" t="s">
        <v>224</v>
      </c>
      <c r="D41" s="7" t="s">
        <v>216</v>
      </c>
      <c r="E41" s="7" t="n">
        <v>2025</v>
      </c>
      <c r="F41" s="8" t="n">
        <v>105</v>
      </c>
      <c r="G41" s="9" t="n">
        <v>350</v>
      </c>
      <c r="H41" s="10" t="n">
        <v>875</v>
      </c>
    </row>
    <row r="42" customFormat="false" ht="15" hidden="false" customHeight="false" outlineLevel="0" collapsed="false">
      <c r="A42" s="7" t="s">
        <v>222</v>
      </c>
      <c r="B42" s="7" t="s">
        <v>223</v>
      </c>
      <c r="C42" s="7" t="s">
        <v>224</v>
      </c>
      <c r="D42" s="7" t="s">
        <v>216</v>
      </c>
      <c r="E42" s="7" t="n">
        <v>2026</v>
      </c>
      <c r="F42" s="8" t="n">
        <v>104</v>
      </c>
      <c r="G42" s="9" t="n">
        <v>346</v>
      </c>
      <c r="H42" s="10" t="n">
        <v>865</v>
      </c>
    </row>
    <row r="43" customFormat="false" ht="15" hidden="false" customHeight="false" outlineLevel="0" collapsed="false">
      <c r="A43" s="7" t="s">
        <v>222</v>
      </c>
      <c r="B43" s="7" t="s">
        <v>223</v>
      </c>
      <c r="C43" s="7" t="s">
        <v>224</v>
      </c>
      <c r="D43" s="7" t="s">
        <v>216</v>
      </c>
      <c r="E43" s="7" t="n">
        <v>2027</v>
      </c>
      <c r="F43" s="8" t="n">
        <v>103</v>
      </c>
      <c r="G43" s="9" t="n">
        <v>343</v>
      </c>
      <c r="H43" s="10" t="n">
        <v>858</v>
      </c>
    </row>
    <row r="44" customFormat="false" ht="15" hidden="false" customHeight="false" outlineLevel="0" collapsed="false">
      <c r="A44" s="7" t="s">
        <v>222</v>
      </c>
      <c r="B44" s="7" t="s">
        <v>223</v>
      </c>
      <c r="C44" s="7" t="s">
        <v>224</v>
      </c>
      <c r="D44" s="7" t="s">
        <v>216</v>
      </c>
      <c r="E44" s="7" t="n">
        <v>2028</v>
      </c>
      <c r="F44" s="8" t="n">
        <v>102</v>
      </c>
      <c r="G44" s="9" t="n">
        <v>340</v>
      </c>
      <c r="H44" s="10" t="n">
        <v>850</v>
      </c>
    </row>
    <row r="45" customFormat="false" ht="15" hidden="false" customHeight="false" outlineLevel="0" collapsed="false">
      <c r="A45" s="7" t="s">
        <v>222</v>
      </c>
      <c r="B45" s="7" t="s">
        <v>223</v>
      </c>
      <c r="C45" s="7" t="s">
        <v>224</v>
      </c>
      <c r="D45" s="7" t="s">
        <v>216</v>
      </c>
      <c r="E45" s="7" t="n">
        <v>2029</v>
      </c>
      <c r="F45" s="8" t="n">
        <v>101</v>
      </c>
      <c r="G45" s="9" t="n">
        <v>336</v>
      </c>
      <c r="H45" s="10" t="n">
        <v>840</v>
      </c>
    </row>
    <row r="46" customFormat="false" ht="15" hidden="false" customHeight="false" outlineLevel="0" collapsed="false">
      <c r="A46" s="7" t="s">
        <v>222</v>
      </c>
      <c r="B46" s="7" t="s">
        <v>223</v>
      </c>
      <c r="C46" s="7" t="s">
        <v>224</v>
      </c>
      <c r="D46" s="7" t="s">
        <v>216</v>
      </c>
      <c r="E46" s="7" t="n">
        <v>2030</v>
      </c>
      <c r="F46" s="8" t="n">
        <v>100</v>
      </c>
      <c r="G46" s="9" t="n">
        <v>332</v>
      </c>
      <c r="H46" s="10" t="n">
        <v>830</v>
      </c>
    </row>
    <row r="47" customFormat="false" ht="15" hidden="false" customHeight="false" outlineLevel="0" collapsed="false">
      <c r="A47" s="7" t="s">
        <v>222</v>
      </c>
      <c r="B47" s="7" t="s">
        <v>223</v>
      </c>
      <c r="C47" s="7" t="s">
        <v>224</v>
      </c>
      <c r="D47" s="7" t="s">
        <v>217</v>
      </c>
      <c r="E47" s="7" t="n">
        <v>2025</v>
      </c>
      <c r="F47" s="8" t="n">
        <v>105</v>
      </c>
      <c r="G47" s="9" t="n">
        <v>350</v>
      </c>
      <c r="H47" s="10" t="n">
        <v>875</v>
      </c>
    </row>
    <row r="48" customFormat="false" ht="15" hidden="false" customHeight="false" outlineLevel="0" collapsed="false">
      <c r="A48" s="7" t="s">
        <v>222</v>
      </c>
      <c r="B48" s="7" t="s">
        <v>223</v>
      </c>
      <c r="C48" s="7" t="s">
        <v>224</v>
      </c>
      <c r="D48" s="7" t="s">
        <v>217</v>
      </c>
      <c r="E48" s="7" t="n">
        <v>2026</v>
      </c>
      <c r="F48" s="8" t="n">
        <v>99</v>
      </c>
      <c r="G48" s="9" t="n">
        <v>329</v>
      </c>
      <c r="H48" s="10" t="n">
        <v>822</v>
      </c>
    </row>
    <row r="49" customFormat="false" ht="15" hidden="false" customHeight="false" outlineLevel="0" collapsed="false">
      <c r="A49" s="7" t="s">
        <v>222</v>
      </c>
      <c r="B49" s="7" t="s">
        <v>223</v>
      </c>
      <c r="C49" s="7" t="s">
        <v>224</v>
      </c>
      <c r="D49" s="7" t="s">
        <v>217</v>
      </c>
      <c r="E49" s="7" t="n">
        <v>2027</v>
      </c>
      <c r="F49" s="8" t="n">
        <v>90</v>
      </c>
      <c r="G49" s="9" t="n">
        <v>301</v>
      </c>
      <c r="H49" s="10" t="n">
        <v>752</v>
      </c>
    </row>
    <row r="50" customFormat="false" ht="15" hidden="false" customHeight="false" outlineLevel="0" collapsed="false">
      <c r="A50" s="7" t="s">
        <v>222</v>
      </c>
      <c r="B50" s="7" t="s">
        <v>223</v>
      </c>
      <c r="C50" s="7" t="s">
        <v>224</v>
      </c>
      <c r="D50" s="7" t="s">
        <v>217</v>
      </c>
      <c r="E50" s="7" t="n">
        <v>2028</v>
      </c>
      <c r="F50" s="8" t="n">
        <v>81</v>
      </c>
      <c r="G50" s="9" t="n">
        <v>270</v>
      </c>
      <c r="H50" s="10" t="n">
        <v>675</v>
      </c>
    </row>
    <row r="51" customFormat="false" ht="15" hidden="false" customHeight="false" outlineLevel="0" collapsed="false">
      <c r="A51" s="7" t="s">
        <v>222</v>
      </c>
      <c r="B51" s="7" t="s">
        <v>223</v>
      </c>
      <c r="C51" s="7" t="s">
        <v>224</v>
      </c>
      <c r="D51" s="7" t="s">
        <v>217</v>
      </c>
      <c r="E51" s="7" t="n">
        <v>2029</v>
      </c>
      <c r="F51" s="8" t="n">
        <v>71</v>
      </c>
      <c r="G51" s="9" t="n">
        <v>238</v>
      </c>
      <c r="H51" s="10" t="n">
        <v>595</v>
      </c>
    </row>
    <row r="52" customFormat="false" ht="15" hidden="false" customHeight="false" outlineLevel="0" collapsed="false">
      <c r="A52" s="7" t="s">
        <v>222</v>
      </c>
      <c r="B52" s="7" t="s">
        <v>223</v>
      </c>
      <c r="C52" s="7" t="s">
        <v>224</v>
      </c>
      <c r="D52" s="7" t="s">
        <v>217</v>
      </c>
      <c r="E52" s="7" t="n">
        <v>2030</v>
      </c>
      <c r="F52" s="8" t="n">
        <v>61</v>
      </c>
      <c r="G52" s="9" t="n">
        <v>203</v>
      </c>
      <c r="H52" s="10" t="n">
        <v>508</v>
      </c>
    </row>
    <row r="53" customFormat="false" ht="15" hidden="false" customHeight="false" outlineLevel="0" collapsed="false">
      <c r="A53" s="7" t="s">
        <v>222</v>
      </c>
      <c r="B53" s="7" t="s">
        <v>223</v>
      </c>
      <c r="C53" s="7" t="s">
        <v>224</v>
      </c>
      <c r="D53" s="7" t="s">
        <v>218</v>
      </c>
      <c r="E53" s="7" t="n">
        <v>2025</v>
      </c>
      <c r="F53" s="8" t="n">
        <v>105</v>
      </c>
      <c r="G53" s="9" t="n">
        <v>350</v>
      </c>
      <c r="H53" s="10" t="n">
        <v>875</v>
      </c>
    </row>
    <row r="54" customFormat="false" ht="15" hidden="false" customHeight="false" outlineLevel="0" collapsed="false">
      <c r="A54" s="7" t="s">
        <v>222</v>
      </c>
      <c r="B54" s="7" t="s">
        <v>223</v>
      </c>
      <c r="C54" s="7" t="s">
        <v>224</v>
      </c>
      <c r="D54" s="7" t="s">
        <v>218</v>
      </c>
      <c r="E54" s="7" t="n">
        <v>2026</v>
      </c>
      <c r="F54" s="8" t="n">
        <v>89</v>
      </c>
      <c r="G54" s="9" t="n">
        <v>298</v>
      </c>
      <c r="H54" s="10" t="n">
        <v>745</v>
      </c>
    </row>
    <row r="55" customFormat="false" ht="15" hidden="false" customHeight="false" outlineLevel="0" collapsed="false">
      <c r="A55" s="7" t="s">
        <v>222</v>
      </c>
      <c r="B55" s="7" t="s">
        <v>223</v>
      </c>
      <c r="C55" s="7" t="s">
        <v>224</v>
      </c>
      <c r="D55" s="7" t="s">
        <v>218</v>
      </c>
      <c r="E55" s="7" t="n">
        <v>2027</v>
      </c>
      <c r="F55" s="8" t="n">
        <v>71</v>
      </c>
      <c r="G55" s="9" t="n">
        <v>238</v>
      </c>
      <c r="H55" s="10" t="n">
        <v>595</v>
      </c>
    </row>
    <row r="56" customFormat="false" ht="15" hidden="false" customHeight="false" outlineLevel="0" collapsed="false">
      <c r="A56" s="7" t="s">
        <v>222</v>
      </c>
      <c r="B56" s="7" t="s">
        <v>223</v>
      </c>
      <c r="C56" s="7" t="s">
        <v>224</v>
      </c>
      <c r="D56" s="7" t="s">
        <v>218</v>
      </c>
      <c r="E56" s="7" t="n">
        <v>2028</v>
      </c>
      <c r="F56" s="8" t="n">
        <v>53</v>
      </c>
      <c r="G56" s="9" t="n">
        <v>178</v>
      </c>
      <c r="H56" s="10" t="n">
        <v>445</v>
      </c>
    </row>
    <row r="57" customFormat="false" ht="15" hidden="false" customHeight="false" outlineLevel="0" collapsed="false">
      <c r="A57" s="7" t="s">
        <v>222</v>
      </c>
      <c r="B57" s="7" t="s">
        <v>223</v>
      </c>
      <c r="C57" s="7" t="s">
        <v>224</v>
      </c>
      <c r="D57" s="7" t="s">
        <v>218</v>
      </c>
      <c r="E57" s="7" t="n">
        <v>2029</v>
      </c>
      <c r="F57" s="8" t="n">
        <v>38</v>
      </c>
      <c r="G57" s="9" t="n">
        <v>126</v>
      </c>
      <c r="H57" s="10" t="n">
        <v>315</v>
      </c>
    </row>
    <row r="58" customFormat="false" ht="15" hidden="false" customHeight="false" outlineLevel="0" collapsed="false">
      <c r="A58" s="7" t="s">
        <v>222</v>
      </c>
      <c r="B58" s="7" t="s">
        <v>223</v>
      </c>
      <c r="C58" s="7" t="s">
        <v>224</v>
      </c>
      <c r="D58" s="7" t="s">
        <v>218</v>
      </c>
      <c r="E58" s="7" t="n">
        <v>2030</v>
      </c>
      <c r="F58" s="8" t="n">
        <v>24</v>
      </c>
      <c r="G58" s="9" t="n">
        <v>80</v>
      </c>
      <c r="H58" s="10" t="n">
        <v>200</v>
      </c>
    </row>
    <row r="59" customFormat="false" ht="15" hidden="false" customHeight="false" outlineLevel="0" collapsed="false">
      <c r="A59" s="7" t="s">
        <v>225</v>
      </c>
      <c r="B59" s="7" t="s">
        <v>226</v>
      </c>
      <c r="C59" s="7" t="s">
        <v>224</v>
      </c>
      <c r="D59" s="7" t="s">
        <v>216</v>
      </c>
      <c r="E59" s="7" t="n">
        <v>2025</v>
      </c>
      <c r="F59" s="8" t="n">
        <v>84</v>
      </c>
      <c r="G59" s="9" t="n">
        <v>280</v>
      </c>
      <c r="H59" s="10" t="n">
        <v>700</v>
      </c>
    </row>
    <row r="60" customFormat="false" ht="15" hidden="false" customHeight="false" outlineLevel="0" collapsed="false">
      <c r="A60" s="7" t="s">
        <v>225</v>
      </c>
      <c r="B60" s="7" t="s">
        <v>226</v>
      </c>
      <c r="C60" s="7" t="s">
        <v>224</v>
      </c>
      <c r="D60" s="7" t="s">
        <v>216</v>
      </c>
      <c r="E60" s="7" t="n">
        <v>2026</v>
      </c>
      <c r="F60" s="8" t="n">
        <v>83</v>
      </c>
      <c r="G60" s="9" t="n">
        <v>277</v>
      </c>
      <c r="H60" s="10" t="n">
        <v>692</v>
      </c>
    </row>
    <row r="61" customFormat="false" ht="15" hidden="false" customHeight="false" outlineLevel="0" collapsed="false">
      <c r="A61" s="7" t="s">
        <v>225</v>
      </c>
      <c r="B61" s="7" t="s">
        <v>226</v>
      </c>
      <c r="C61" s="7" t="s">
        <v>224</v>
      </c>
      <c r="D61" s="7" t="s">
        <v>216</v>
      </c>
      <c r="E61" s="7" t="n">
        <v>2027</v>
      </c>
      <c r="F61" s="8" t="n">
        <v>82</v>
      </c>
      <c r="G61" s="9" t="n">
        <v>274</v>
      </c>
      <c r="H61" s="10" t="n">
        <v>685</v>
      </c>
    </row>
    <row r="62" customFormat="false" ht="15" hidden="false" customHeight="false" outlineLevel="0" collapsed="false">
      <c r="A62" s="7" t="s">
        <v>225</v>
      </c>
      <c r="B62" s="7" t="s">
        <v>226</v>
      </c>
      <c r="C62" s="7" t="s">
        <v>224</v>
      </c>
      <c r="D62" s="7" t="s">
        <v>216</v>
      </c>
      <c r="E62" s="7" t="n">
        <v>2028</v>
      </c>
      <c r="F62" s="8" t="n">
        <v>82</v>
      </c>
      <c r="G62" s="9" t="n">
        <v>272</v>
      </c>
      <c r="H62" s="10" t="n">
        <v>680</v>
      </c>
    </row>
    <row r="63" customFormat="false" ht="15" hidden="false" customHeight="false" outlineLevel="0" collapsed="false">
      <c r="A63" s="7" t="s">
        <v>225</v>
      </c>
      <c r="B63" s="7" t="s">
        <v>226</v>
      </c>
      <c r="C63" s="7" t="s">
        <v>224</v>
      </c>
      <c r="D63" s="7" t="s">
        <v>216</v>
      </c>
      <c r="E63" s="7" t="n">
        <v>2029</v>
      </c>
      <c r="F63" s="8" t="n">
        <v>81</v>
      </c>
      <c r="G63" s="9" t="n">
        <v>269</v>
      </c>
      <c r="H63" s="10" t="n">
        <v>672</v>
      </c>
    </row>
    <row r="64" customFormat="false" ht="15" hidden="false" customHeight="false" outlineLevel="0" collapsed="false">
      <c r="A64" s="7" t="s">
        <v>225</v>
      </c>
      <c r="B64" s="7" t="s">
        <v>226</v>
      </c>
      <c r="C64" s="7" t="s">
        <v>224</v>
      </c>
      <c r="D64" s="7" t="s">
        <v>216</v>
      </c>
      <c r="E64" s="7" t="n">
        <v>2030</v>
      </c>
      <c r="F64" s="8" t="n">
        <v>80</v>
      </c>
      <c r="G64" s="9" t="n">
        <v>266</v>
      </c>
      <c r="H64" s="10" t="n">
        <v>665</v>
      </c>
    </row>
    <row r="65" customFormat="false" ht="15" hidden="false" customHeight="false" outlineLevel="0" collapsed="false">
      <c r="A65" s="7" t="s">
        <v>225</v>
      </c>
      <c r="B65" s="7" t="s">
        <v>226</v>
      </c>
      <c r="C65" s="7" t="s">
        <v>224</v>
      </c>
      <c r="D65" s="7" t="s">
        <v>217</v>
      </c>
      <c r="E65" s="7" t="n">
        <v>2025</v>
      </c>
      <c r="F65" s="8" t="n">
        <v>84</v>
      </c>
      <c r="G65" s="9" t="n">
        <v>280</v>
      </c>
      <c r="H65" s="10" t="n">
        <v>700</v>
      </c>
    </row>
    <row r="66" customFormat="false" ht="15" hidden="false" customHeight="false" outlineLevel="0" collapsed="false">
      <c r="A66" s="7" t="s">
        <v>225</v>
      </c>
      <c r="B66" s="7" t="s">
        <v>226</v>
      </c>
      <c r="C66" s="7" t="s">
        <v>224</v>
      </c>
      <c r="D66" s="7" t="s">
        <v>217</v>
      </c>
      <c r="E66" s="7" t="n">
        <v>2026</v>
      </c>
      <c r="F66" s="8" t="n">
        <v>79</v>
      </c>
      <c r="G66" s="9" t="n">
        <v>263</v>
      </c>
      <c r="H66" s="10" t="n">
        <v>658</v>
      </c>
    </row>
    <row r="67" customFormat="false" ht="15" hidden="false" customHeight="false" outlineLevel="0" collapsed="false">
      <c r="A67" s="7" t="s">
        <v>225</v>
      </c>
      <c r="B67" s="7" t="s">
        <v>226</v>
      </c>
      <c r="C67" s="7" t="s">
        <v>224</v>
      </c>
      <c r="D67" s="7" t="s">
        <v>217</v>
      </c>
      <c r="E67" s="7" t="n">
        <v>2027</v>
      </c>
      <c r="F67" s="8" t="n">
        <v>72</v>
      </c>
      <c r="G67" s="9" t="n">
        <v>241</v>
      </c>
      <c r="H67" s="10" t="n">
        <v>602</v>
      </c>
    </row>
    <row r="68" customFormat="false" ht="15" hidden="false" customHeight="false" outlineLevel="0" collapsed="false">
      <c r="A68" s="7" t="s">
        <v>225</v>
      </c>
      <c r="B68" s="7" t="s">
        <v>226</v>
      </c>
      <c r="C68" s="7" t="s">
        <v>224</v>
      </c>
      <c r="D68" s="7" t="s">
        <v>217</v>
      </c>
      <c r="E68" s="7" t="n">
        <v>2028</v>
      </c>
      <c r="F68" s="8" t="n">
        <v>65</v>
      </c>
      <c r="G68" s="9" t="n">
        <v>216</v>
      </c>
      <c r="H68" s="10" t="n">
        <v>540</v>
      </c>
    </row>
    <row r="69" customFormat="false" ht="15" hidden="false" customHeight="false" outlineLevel="0" collapsed="false">
      <c r="A69" s="7" t="s">
        <v>225</v>
      </c>
      <c r="B69" s="7" t="s">
        <v>226</v>
      </c>
      <c r="C69" s="7" t="s">
        <v>224</v>
      </c>
      <c r="D69" s="7" t="s">
        <v>217</v>
      </c>
      <c r="E69" s="7" t="n">
        <v>2029</v>
      </c>
      <c r="F69" s="8" t="n">
        <v>57</v>
      </c>
      <c r="G69" s="9" t="n">
        <v>190</v>
      </c>
      <c r="H69" s="10" t="n">
        <v>475</v>
      </c>
    </row>
    <row r="70" customFormat="false" ht="15" hidden="false" customHeight="false" outlineLevel="0" collapsed="false">
      <c r="A70" s="7" t="s">
        <v>225</v>
      </c>
      <c r="B70" s="7" t="s">
        <v>226</v>
      </c>
      <c r="C70" s="7" t="s">
        <v>224</v>
      </c>
      <c r="D70" s="7" t="s">
        <v>217</v>
      </c>
      <c r="E70" s="7" t="n">
        <v>2030</v>
      </c>
      <c r="F70" s="8" t="n">
        <v>49</v>
      </c>
      <c r="G70" s="9" t="n">
        <v>162</v>
      </c>
      <c r="H70" s="10" t="n">
        <v>405</v>
      </c>
    </row>
    <row r="71" customFormat="false" ht="15" hidden="false" customHeight="false" outlineLevel="0" collapsed="false">
      <c r="A71" s="7" t="s">
        <v>225</v>
      </c>
      <c r="B71" s="7" t="s">
        <v>226</v>
      </c>
      <c r="C71" s="7" t="s">
        <v>224</v>
      </c>
      <c r="D71" s="7" t="s">
        <v>218</v>
      </c>
      <c r="E71" s="7" t="n">
        <v>2025</v>
      </c>
      <c r="F71" s="8" t="n">
        <v>84</v>
      </c>
      <c r="G71" s="9" t="n">
        <v>280</v>
      </c>
      <c r="H71" s="10" t="n">
        <v>700</v>
      </c>
    </row>
    <row r="72" customFormat="false" ht="15" hidden="false" customHeight="false" outlineLevel="0" collapsed="false">
      <c r="A72" s="7" t="s">
        <v>225</v>
      </c>
      <c r="B72" s="7" t="s">
        <v>226</v>
      </c>
      <c r="C72" s="7" t="s">
        <v>224</v>
      </c>
      <c r="D72" s="7" t="s">
        <v>218</v>
      </c>
      <c r="E72" s="7" t="n">
        <v>2026</v>
      </c>
      <c r="F72" s="8" t="n">
        <v>71</v>
      </c>
      <c r="G72" s="9" t="n">
        <v>238</v>
      </c>
      <c r="H72" s="10" t="n">
        <v>595</v>
      </c>
    </row>
    <row r="73" customFormat="false" ht="15" hidden="false" customHeight="false" outlineLevel="0" collapsed="false">
      <c r="A73" s="7" t="s">
        <v>225</v>
      </c>
      <c r="B73" s="7" t="s">
        <v>226</v>
      </c>
      <c r="C73" s="7" t="s">
        <v>224</v>
      </c>
      <c r="D73" s="7" t="s">
        <v>218</v>
      </c>
      <c r="E73" s="7" t="n">
        <v>2027</v>
      </c>
      <c r="F73" s="8" t="n">
        <v>57</v>
      </c>
      <c r="G73" s="9" t="n">
        <v>190</v>
      </c>
      <c r="H73" s="10" t="n">
        <v>475</v>
      </c>
    </row>
    <row r="74" customFormat="false" ht="15" hidden="false" customHeight="false" outlineLevel="0" collapsed="false">
      <c r="A74" s="7" t="s">
        <v>225</v>
      </c>
      <c r="B74" s="7" t="s">
        <v>226</v>
      </c>
      <c r="C74" s="7" t="s">
        <v>224</v>
      </c>
      <c r="D74" s="7" t="s">
        <v>218</v>
      </c>
      <c r="E74" s="7" t="n">
        <v>2028</v>
      </c>
      <c r="F74" s="8" t="n">
        <v>43</v>
      </c>
      <c r="G74" s="9" t="n">
        <v>143</v>
      </c>
      <c r="H74" s="10" t="n">
        <v>358</v>
      </c>
    </row>
    <row r="75" customFormat="false" ht="15" hidden="false" customHeight="false" outlineLevel="0" collapsed="false">
      <c r="A75" s="7" t="s">
        <v>225</v>
      </c>
      <c r="B75" s="7" t="s">
        <v>226</v>
      </c>
      <c r="C75" s="7" t="s">
        <v>224</v>
      </c>
      <c r="D75" s="7" t="s">
        <v>218</v>
      </c>
      <c r="E75" s="7" t="n">
        <v>2029</v>
      </c>
      <c r="F75" s="8" t="n">
        <v>30</v>
      </c>
      <c r="G75" s="9" t="n">
        <v>101</v>
      </c>
      <c r="H75" s="10" t="n">
        <v>252</v>
      </c>
    </row>
    <row r="76" customFormat="false" ht="15" hidden="false" customHeight="false" outlineLevel="0" collapsed="false">
      <c r="A76" s="7" t="s">
        <v>225</v>
      </c>
      <c r="B76" s="7" t="s">
        <v>226</v>
      </c>
      <c r="C76" s="7" t="s">
        <v>224</v>
      </c>
      <c r="D76" s="7" t="s">
        <v>218</v>
      </c>
      <c r="E76" s="7" t="n">
        <v>2030</v>
      </c>
      <c r="F76" s="8" t="n">
        <v>19</v>
      </c>
      <c r="G76" s="9" t="n">
        <v>64</v>
      </c>
      <c r="H76" s="10" t="n">
        <v>160</v>
      </c>
    </row>
    <row r="77" customFormat="false" ht="15" hidden="false" customHeight="false" outlineLevel="0" collapsed="false">
      <c r="A77" s="7" t="s">
        <v>227</v>
      </c>
      <c r="B77" s="7" t="s">
        <v>228</v>
      </c>
      <c r="C77" s="7" t="s">
        <v>224</v>
      </c>
      <c r="D77" s="7" t="s">
        <v>216</v>
      </c>
      <c r="E77" s="7" t="n">
        <v>2025</v>
      </c>
      <c r="F77" s="8" t="n">
        <v>27</v>
      </c>
      <c r="G77" s="9" t="n">
        <v>90</v>
      </c>
      <c r="H77" s="10" t="n">
        <v>225</v>
      </c>
    </row>
    <row r="78" customFormat="false" ht="15" hidden="false" customHeight="false" outlineLevel="0" collapsed="false">
      <c r="A78" s="7" t="s">
        <v>227</v>
      </c>
      <c r="B78" s="7" t="s">
        <v>228</v>
      </c>
      <c r="C78" s="7" t="s">
        <v>224</v>
      </c>
      <c r="D78" s="7" t="s">
        <v>216</v>
      </c>
      <c r="E78" s="7" t="n">
        <v>2026</v>
      </c>
      <c r="F78" s="8" t="n">
        <v>27</v>
      </c>
      <c r="G78" s="9" t="n">
        <v>89</v>
      </c>
      <c r="H78" s="10" t="n">
        <v>222</v>
      </c>
    </row>
    <row r="79" customFormat="false" ht="15" hidden="false" customHeight="false" outlineLevel="0" collapsed="false">
      <c r="A79" s="7" t="s">
        <v>227</v>
      </c>
      <c r="B79" s="7" t="s">
        <v>228</v>
      </c>
      <c r="C79" s="7" t="s">
        <v>224</v>
      </c>
      <c r="D79" s="7" t="s">
        <v>216</v>
      </c>
      <c r="E79" s="7" t="n">
        <v>2027</v>
      </c>
      <c r="F79" s="8" t="n">
        <v>26</v>
      </c>
      <c r="G79" s="9" t="n">
        <v>88</v>
      </c>
      <c r="H79" s="10" t="n">
        <v>220</v>
      </c>
    </row>
    <row r="80" customFormat="false" ht="15" hidden="false" customHeight="false" outlineLevel="0" collapsed="false">
      <c r="A80" s="7" t="s">
        <v>227</v>
      </c>
      <c r="B80" s="7" t="s">
        <v>228</v>
      </c>
      <c r="C80" s="7" t="s">
        <v>224</v>
      </c>
      <c r="D80" s="7" t="s">
        <v>216</v>
      </c>
      <c r="E80" s="7" t="n">
        <v>2028</v>
      </c>
      <c r="F80" s="8" t="n">
        <v>26</v>
      </c>
      <c r="G80" s="9" t="n">
        <v>87</v>
      </c>
      <c r="H80" s="10" t="n">
        <v>218</v>
      </c>
    </row>
    <row r="81" customFormat="false" ht="15" hidden="false" customHeight="false" outlineLevel="0" collapsed="false">
      <c r="A81" s="7" t="s">
        <v>227</v>
      </c>
      <c r="B81" s="7" t="s">
        <v>228</v>
      </c>
      <c r="C81" s="7" t="s">
        <v>224</v>
      </c>
      <c r="D81" s="7" t="s">
        <v>216</v>
      </c>
      <c r="E81" s="7" t="n">
        <v>2029</v>
      </c>
      <c r="F81" s="8" t="n">
        <v>26</v>
      </c>
      <c r="G81" s="9" t="n">
        <v>86</v>
      </c>
      <c r="H81" s="10" t="n">
        <v>215</v>
      </c>
    </row>
    <row r="82" customFormat="false" ht="15" hidden="false" customHeight="false" outlineLevel="0" collapsed="false">
      <c r="A82" s="7" t="s">
        <v>227</v>
      </c>
      <c r="B82" s="7" t="s">
        <v>228</v>
      </c>
      <c r="C82" s="7" t="s">
        <v>224</v>
      </c>
      <c r="D82" s="7" t="s">
        <v>216</v>
      </c>
      <c r="E82" s="7" t="n">
        <v>2030</v>
      </c>
      <c r="F82" s="8" t="n">
        <v>26</v>
      </c>
      <c r="G82" s="9" t="n">
        <v>86</v>
      </c>
      <c r="H82" s="10" t="n">
        <v>215</v>
      </c>
    </row>
    <row r="83" customFormat="false" ht="15" hidden="false" customHeight="false" outlineLevel="0" collapsed="false">
      <c r="A83" s="7" t="s">
        <v>227</v>
      </c>
      <c r="B83" s="7" t="s">
        <v>228</v>
      </c>
      <c r="C83" s="7" t="s">
        <v>224</v>
      </c>
      <c r="D83" s="7" t="s">
        <v>217</v>
      </c>
      <c r="E83" s="7" t="n">
        <v>2025</v>
      </c>
      <c r="F83" s="8" t="n">
        <v>27</v>
      </c>
      <c r="G83" s="9" t="n">
        <v>90</v>
      </c>
      <c r="H83" s="10" t="n">
        <v>225</v>
      </c>
    </row>
    <row r="84" customFormat="false" ht="15" hidden="false" customHeight="false" outlineLevel="0" collapsed="false">
      <c r="A84" s="7" t="s">
        <v>227</v>
      </c>
      <c r="B84" s="7" t="s">
        <v>228</v>
      </c>
      <c r="C84" s="7" t="s">
        <v>224</v>
      </c>
      <c r="D84" s="7" t="s">
        <v>217</v>
      </c>
      <c r="E84" s="7" t="n">
        <v>2026</v>
      </c>
      <c r="F84" s="8" t="n">
        <v>26</v>
      </c>
      <c r="G84" s="9" t="n">
        <v>85</v>
      </c>
      <c r="H84" s="10" t="n">
        <v>212</v>
      </c>
    </row>
    <row r="85" customFormat="false" ht="15" hidden="false" customHeight="false" outlineLevel="0" collapsed="false">
      <c r="A85" s="7" t="s">
        <v>227</v>
      </c>
      <c r="B85" s="7" t="s">
        <v>228</v>
      </c>
      <c r="C85" s="7" t="s">
        <v>224</v>
      </c>
      <c r="D85" s="7" t="s">
        <v>217</v>
      </c>
      <c r="E85" s="7" t="n">
        <v>2027</v>
      </c>
      <c r="F85" s="8" t="n">
        <v>23</v>
      </c>
      <c r="G85" s="9" t="n">
        <v>77</v>
      </c>
      <c r="H85" s="10" t="n">
        <v>192</v>
      </c>
    </row>
    <row r="86" customFormat="false" ht="15" hidden="false" customHeight="false" outlineLevel="0" collapsed="false">
      <c r="A86" s="7" t="s">
        <v>227</v>
      </c>
      <c r="B86" s="7" t="s">
        <v>228</v>
      </c>
      <c r="C86" s="7" t="s">
        <v>224</v>
      </c>
      <c r="D86" s="7" t="s">
        <v>217</v>
      </c>
      <c r="E86" s="7" t="n">
        <v>2028</v>
      </c>
      <c r="F86" s="8" t="n">
        <v>21</v>
      </c>
      <c r="G86" s="9" t="n">
        <v>69</v>
      </c>
      <c r="H86" s="10" t="n">
        <v>172</v>
      </c>
    </row>
    <row r="87" customFormat="false" ht="15" hidden="false" customHeight="false" outlineLevel="0" collapsed="false">
      <c r="A87" s="7" t="s">
        <v>227</v>
      </c>
      <c r="B87" s="7" t="s">
        <v>228</v>
      </c>
      <c r="C87" s="7" t="s">
        <v>224</v>
      </c>
      <c r="D87" s="7" t="s">
        <v>217</v>
      </c>
      <c r="E87" s="7" t="n">
        <v>2029</v>
      </c>
      <c r="F87" s="8" t="n">
        <v>18</v>
      </c>
      <c r="G87" s="9" t="n">
        <v>61</v>
      </c>
      <c r="H87" s="10" t="n">
        <v>152</v>
      </c>
    </row>
    <row r="88" customFormat="false" ht="15" hidden="false" customHeight="false" outlineLevel="0" collapsed="false">
      <c r="A88" s="7" t="s">
        <v>227</v>
      </c>
      <c r="B88" s="7" t="s">
        <v>228</v>
      </c>
      <c r="C88" s="7" t="s">
        <v>224</v>
      </c>
      <c r="D88" s="7" t="s">
        <v>217</v>
      </c>
      <c r="E88" s="7" t="n">
        <v>2030</v>
      </c>
      <c r="F88" s="8" t="n">
        <v>16</v>
      </c>
      <c r="G88" s="9" t="n">
        <v>52</v>
      </c>
      <c r="H88" s="10" t="n">
        <v>130</v>
      </c>
    </row>
    <row r="89" customFormat="false" ht="15" hidden="false" customHeight="false" outlineLevel="0" collapsed="false">
      <c r="A89" s="7" t="s">
        <v>227</v>
      </c>
      <c r="B89" s="7" t="s">
        <v>228</v>
      </c>
      <c r="C89" s="7" t="s">
        <v>224</v>
      </c>
      <c r="D89" s="7" t="s">
        <v>218</v>
      </c>
      <c r="E89" s="7" t="n">
        <v>2025</v>
      </c>
      <c r="F89" s="8" t="n">
        <v>27</v>
      </c>
      <c r="G89" s="9" t="n">
        <v>90</v>
      </c>
      <c r="H89" s="10" t="n">
        <v>225</v>
      </c>
    </row>
    <row r="90" customFormat="false" ht="15" hidden="false" customHeight="false" outlineLevel="0" collapsed="false">
      <c r="A90" s="7" t="s">
        <v>227</v>
      </c>
      <c r="B90" s="7" t="s">
        <v>228</v>
      </c>
      <c r="C90" s="7" t="s">
        <v>224</v>
      </c>
      <c r="D90" s="7" t="s">
        <v>218</v>
      </c>
      <c r="E90" s="7" t="n">
        <v>2026</v>
      </c>
      <c r="F90" s="8" t="n">
        <v>23</v>
      </c>
      <c r="G90" s="9" t="n">
        <v>76</v>
      </c>
      <c r="H90" s="10" t="n">
        <v>190</v>
      </c>
    </row>
    <row r="91" customFormat="false" ht="15" hidden="false" customHeight="false" outlineLevel="0" collapsed="false">
      <c r="A91" s="7" t="s">
        <v>227</v>
      </c>
      <c r="B91" s="7" t="s">
        <v>228</v>
      </c>
      <c r="C91" s="7" t="s">
        <v>224</v>
      </c>
      <c r="D91" s="7" t="s">
        <v>218</v>
      </c>
      <c r="E91" s="7" t="n">
        <v>2027</v>
      </c>
      <c r="F91" s="8" t="n">
        <v>18</v>
      </c>
      <c r="G91" s="9" t="n">
        <v>61</v>
      </c>
      <c r="H91" s="10" t="n">
        <v>152</v>
      </c>
    </row>
    <row r="92" customFormat="false" ht="15" hidden="false" customHeight="false" outlineLevel="0" collapsed="false">
      <c r="A92" s="7" t="s">
        <v>227</v>
      </c>
      <c r="B92" s="7" t="s">
        <v>228</v>
      </c>
      <c r="C92" s="7" t="s">
        <v>224</v>
      </c>
      <c r="D92" s="7" t="s">
        <v>218</v>
      </c>
      <c r="E92" s="7" t="n">
        <v>2028</v>
      </c>
      <c r="F92" s="8" t="n">
        <v>14</v>
      </c>
      <c r="G92" s="9" t="n">
        <v>46</v>
      </c>
      <c r="H92" s="10" t="n">
        <v>115</v>
      </c>
    </row>
    <row r="93" customFormat="false" ht="15" hidden="false" customHeight="false" outlineLevel="0" collapsed="false">
      <c r="A93" s="7" t="s">
        <v>227</v>
      </c>
      <c r="B93" s="7" t="s">
        <v>228</v>
      </c>
      <c r="C93" s="7" t="s">
        <v>224</v>
      </c>
      <c r="D93" s="7" t="s">
        <v>218</v>
      </c>
      <c r="E93" s="7" t="n">
        <v>2029</v>
      </c>
      <c r="F93" s="8" t="n">
        <v>10</v>
      </c>
      <c r="G93" s="9" t="n">
        <v>32</v>
      </c>
      <c r="H93" s="10" t="n">
        <v>80</v>
      </c>
    </row>
    <row r="94" customFormat="false" ht="15" hidden="false" customHeight="false" outlineLevel="0" collapsed="false">
      <c r="A94" s="7" t="s">
        <v>227</v>
      </c>
      <c r="B94" s="7" t="s">
        <v>228</v>
      </c>
      <c r="C94" s="7" t="s">
        <v>224</v>
      </c>
      <c r="D94" s="7" t="s">
        <v>218</v>
      </c>
      <c r="E94" s="7" t="n">
        <v>2030</v>
      </c>
      <c r="F94" s="8" t="n">
        <v>6</v>
      </c>
      <c r="G94" s="9" t="n">
        <v>21</v>
      </c>
      <c r="H94" s="10" t="n">
        <v>52</v>
      </c>
    </row>
    <row r="95" customFormat="false" ht="15" hidden="false" customHeight="false" outlineLevel="0" collapsed="false">
      <c r="A95" s="7" t="s">
        <v>229</v>
      </c>
      <c r="B95" s="7" t="s">
        <v>230</v>
      </c>
      <c r="C95" s="7" t="s">
        <v>231</v>
      </c>
      <c r="D95" s="7" t="s">
        <v>216</v>
      </c>
      <c r="E95" s="7" t="n">
        <v>2025</v>
      </c>
      <c r="F95" s="8" t="n">
        <v>210</v>
      </c>
      <c r="G95" s="9" t="n">
        <v>700</v>
      </c>
      <c r="H95" s="10" t="n">
        <v>1750</v>
      </c>
    </row>
    <row r="96" customFormat="false" ht="15" hidden="false" customHeight="false" outlineLevel="0" collapsed="false">
      <c r="A96" s="7" t="s">
        <v>229</v>
      </c>
      <c r="B96" s="7" t="s">
        <v>230</v>
      </c>
      <c r="C96" s="7" t="s">
        <v>231</v>
      </c>
      <c r="D96" s="7" t="s">
        <v>216</v>
      </c>
      <c r="E96" s="7" t="n">
        <v>2026</v>
      </c>
      <c r="F96" s="8" t="n">
        <v>208</v>
      </c>
      <c r="G96" s="9" t="n">
        <v>693</v>
      </c>
      <c r="H96" s="10" t="n">
        <v>1732</v>
      </c>
    </row>
    <row r="97" customFormat="false" ht="15" hidden="false" customHeight="false" outlineLevel="0" collapsed="false">
      <c r="A97" s="7" t="s">
        <v>229</v>
      </c>
      <c r="B97" s="7" t="s">
        <v>230</v>
      </c>
      <c r="C97" s="7" t="s">
        <v>231</v>
      </c>
      <c r="D97" s="7" t="s">
        <v>216</v>
      </c>
      <c r="E97" s="7" t="n">
        <v>2027</v>
      </c>
      <c r="F97" s="8" t="n">
        <v>206</v>
      </c>
      <c r="G97" s="9" t="n">
        <v>686</v>
      </c>
      <c r="H97" s="10" t="n">
        <v>1715</v>
      </c>
    </row>
    <row r="98" customFormat="false" ht="15" hidden="false" customHeight="false" outlineLevel="0" collapsed="false">
      <c r="A98" s="7" t="s">
        <v>229</v>
      </c>
      <c r="B98" s="7" t="s">
        <v>230</v>
      </c>
      <c r="C98" s="7" t="s">
        <v>231</v>
      </c>
      <c r="D98" s="7" t="s">
        <v>216</v>
      </c>
      <c r="E98" s="7" t="n">
        <v>2028</v>
      </c>
      <c r="F98" s="8" t="n">
        <v>204</v>
      </c>
      <c r="G98" s="9" t="n">
        <v>679</v>
      </c>
      <c r="H98" s="10" t="n">
        <v>1698</v>
      </c>
    </row>
    <row r="99" customFormat="false" ht="15" hidden="false" customHeight="false" outlineLevel="0" collapsed="false">
      <c r="A99" s="7" t="s">
        <v>229</v>
      </c>
      <c r="B99" s="7" t="s">
        <v>230</v>
      </c>
      <c r="C99" s="7" t="s">
        <v>231</v>
      </c>
      <c r="D99" s="7" t="s">
        <v>216</v>
      </c>
      <c r="E99" s="7" t="n">
        <v>2029</v>
      </c>
      <c r="F99" s="8" t="n">
        <v>202</v>
      </c>
      <c r="G99" s="9" t="n">
        <v>672</v>
      </c>
      <c r="H99" s="10" t="n">
        <v>1680</v>
      </c>
    </row>
    <row r="100" customFormat="false" ht="15" hidden="false" customHeight="false" outlineLevel="0" collapsed="false">
      <c r="A100" s="7" t="s">
        <v>229</v>
      </c>
      <c r="B100" s="7" t="s">
        <v>230</v>
      </c>
      <c r="C100" s="7" t="s">
        <v>231</v>
      </c>
      <c r="D100" s="7" t="s">
        <v>216</v>
      </c>
      <c r="E100" s="7" t="n">
        <v>2030</v>
      </c>
      <c r="F100" s="8" t="n">
        <v>200</v>
      </c>
      <c r="G100" s="9" t="n">
        <v>665</v>
      </c>
      <c r="H100" s="10" t="n">
        <v>1662</v>
      </c>
    </row>
    <row r="101" customFormat="false" ht="15" hidden="false" customHeight="false" outlineLevel="0" collapsed="false">
      <c r="A101" s="7" t="s">
        <v>229</v>
      </c>
      <c r="B101" s="7" t="s">
        <v>230</v>
      </c>
      <c r="C101" s="7" t="s">
        <v>231</v>
      </c>
      <c r="D101" s="7" t="s">
        <v>217</v>
      </c>
      <c r="E101" s="7" t="n">
        <v>2025</v>
      </c>
      <c r="F101" s="8" t="n">
        <v>210</v>
      </c>
      <c r="G101" s="9" t="n">
        <v>700</v>
      </c>
      <c r="H101" s="10" t="n">
        <v>1750</v>
      </c>
    </row>
    <row r="102" customFormat="false" ht="15" hidden="false" customHeight="false" outlineLevel="0" collapsed="false">
      <c r="A102" s="7" t="s">
        <v>229</v>
      </c>
      <c r="B102" s="7" t="s">
        <v>230</v>
      </c>
      <c r="C102" s="7" t="s">
        <v>231</v>
      </c>
      <c r="D102" s="7" t="s">
        <v>217</v>
      </c>
      <c r="E102" s="7" t="n">
        <v>2026</v>
      </c>
      <c r="F102" s="8" t="n">
        <v>197</v>
      </c>
      <c r="G102" s="9" t="n">
        <v>658</v>
      </c>
      <c r="H102" s="10" t="n">
        <v>1645</v>
      </c>
    </row>
    <row r="103" customFormat="false" ht="15" hidden="false" customHeight="false" outlineLevel="0" collapsed="false">
      <c r="A103" s="7" t="s">
        <v>229</v>
      </c>
      <c r="B103" s="7" t="s">
        <v>230</v>
      </c>
      <c r="C103" s="7" t="s">
        <v>231</v>
      </c>
      <c r="D103" s="7" t="s">
        <v>217</v>
      </c>
      <c r="E103" s="7" t="n">
        <v>2027</v>
      </c>
      <c r="F103" s="8" t="n">
        <v>181</v>
      </c>
      <c r="G103" s="9" t="n">
        <v>602</v>
      </c>
      <c r="H103" s="10" t="n">
        <v>1505</v>
      </c>
    </row>
    <row r="104" customFormat="false" ht="15" hidden="false" customHeight="false" outlineLevel="0" collapsed="false">
      <c r="A104" s="7" t="s">
        <v>229</v>
      </c>
      <c r="B104" s="7" t="s">
        <v>230</v>
      </c>
      <c r="C104" s="7" t="s">
        <v>231</v>
      </c>
      <c r="D104" s="7" t="s">
        <v>217</v>
      </c>
      <c r="E104" s="7" t="n">
        <v>2028</v>
      </c>
      <c r="F104" s="8" t="n">
        <v>162</v>
      </c>
      <c r="G104" s="9" t="n">
        <v>539</v>
      </c>
      <c r="H104" s="10" t="n">
        <v>1348</v>
      </c>
    </row>
    <row r="105" customFormat="false" ht="15" hidden="false" customHeight="false" outlineLevel="0" collapsed="false">
      <c r="A105" s="7" t="s">
        <v>229</v>
      </c>
      <c r="B105" s="7" t="s">
        <v>230</v>
      </c>
      <c r="C105" s="7" t="s">
        <v>231</v>
      </c>
      <c r="D105" s="7" t="s">
        <v>217</v>
      </c>
      <c r="E105" s="7" t="n">
        <v>2029</v>
      </c>
      <c r="F105" s="8" t="n">
        <v>143</v>
      </c>
      <c r="G105" s="9" t="n">
        <v>476</v>
      </c>
      <c r="H105" s="10" t="n">
        <v>1190</v>
      </c>
    </row>
    <row r="106" customFormat="false" ht="15" hidden="false" customHeight="false" outlineLevel="0" collapsed="false">
      <c r="A106" s="7" t="s">
        <v>229</v>
      </c>
      <c r="B106" s="7" t="s">
        <v>230</v>
      </c>
      <c r="C106" s="7" t="s">
        <v>231</v>
      </c>
      <c r="D106" s="7" t="s">
        <v>217</v>
      </c>
      <c r="E106" s="7" t="n">
        <v>2030</v>
      </c>
      <c r="F106" s="8" t="n">
        <v>122</v>
      </c>
      <c r="G106" s="9" t="n">
        <v>406</v>
      </c>
      <c r="H106" s="10" t="n">
        <v>1015</v>
      </c>
    </row>
    <row r="107" customFormat="false" ht="15" hidden="false" customHeight="false" outlineLevel="0" collapsed="false">
      <c r="A107" s="7" t="s">
        <v>229</v>
      </c>
      <c r="B107" s="7" t="s">
        <v>230</v>
      </c>
      <c r="C107" s="7" t="s">
        <v>231</v>
      </c>
      <c r="D107" s="7" t="s">
        <v>218</v>
      </c>
      <c r="E107" s="7" t="n">
        <v>2025</v>
      </c>
      <c r="F107" s="8" t="n">
        <v>210</v>
      </c>
      <c r="G107" s="9" t="n">
        <v>700</v>
      </c>
      <c r="H107" s="10" t="n">
        <v>1750</v>
      </c>
    </row>
    <row r="108" customFormat="false" ht="15" hidden="false" customHeight="false" outlineLevel="0" collapsed="false">
      <c r="A108" s="7" t="s">
        <v>229</v>
      </c>
      <c r="B108" s="7" t="s">
        <v>230</v>
      </c>
      <c r="C108" s="7" t="s">
        <v>231</v>
      </c>
      <c r="D108" s="7" t="s">
        <v>218</v>
      </c>
      <c r="E108" s="7" t="n">
        <v>2026</v>
      </c>
      <c r="F108" s="8" t="n">
        <v>178</v>
      </c>
      <c r="G108" s="9" t="n">
        <v>595</v>
      </c>
      <c r="H108" s="10" t="n">
        <v>1488</v>
      </c>
    </row>
    <row r="109" customFormat="false" ht="15" hidden="false" customHeight="false" outlineLevel="0" collapsed="false">
      <c r="A109" s="7" t="s">
        <v>229</v>
      </c>
      <c r="B109" s="7" t="s">
        <v>230</v>
      </c>
      <c r="C109" s="7" t="s">
        <v>231</v>
      </c>
      <c r="D109" s="7" t="s">
        <v>218</v>
      </c>
      <c r="E109" s="7" t="n">
        <v>2027</v>
      </c>
      <c r="F109" s="8" t="n">
        <v>143</v>
      </c>
      <c r="G109" s="9" t="n">
        <v>476</v>
      </c>
      <c r="H109" s="10" t="n">
        <v>1190</v>
      </c>
    </row>
    <row r="110" customFormat="false" ht="15" hidden="false" customHeight="false" outlineLevel="0" collapsed="false">
      <c r="A110" s="7" t="s">
        <v>229</v>
      </c>
      <c r="B110" s="7" t="s">
        <v>230</v>
      </c>
      <c r="C110" s="7" t="s">
        <v>231</v>
      </c>
      <c r="D110" s="7" t="s">
        <v>218</v>
      </c>
      <c r="E110" s="7" t="n">
        <v>2028</v>
      </c>
      <c r="F110" s="8" t="n">
        <v>107</v>
      </c>
      <c r="G110" s="9" t="n">
        <v>357</v>
      </c>
      <c r="H110" s="10" t="n">
        <v>892</v>
      </c>
    </row>
    <row r="111" customFormat="false" ht="15" hidden="false" customHeight="false" outlineLevel="0" collapsed="false">
      <c r="A111" s="7" t="s">
        <v>229</v>
      </c>
      <c r="B111" s="7" t="s">
        <v>230</v>
      </c>
      <c r="C111" s="7" t="s">
        <v>231</v>
      </c>
      <c r="D111" s="7" t="s">
        <v>218</v>
      </c>
      <c r="E111" s="7" t="n">
        <v>2029</v>
      </c>
      <c r="F111" s="8" t="n">
        <v>76</v>
      </c>
      <c r="G111" s="9" t="n">
        <v>252</v>
      </c>
      <c r="H111" s="10" t="n">
        <v>630</v>
      </c>
    </row>
    <row r="112" customFormat="false" ht="15" hidden="false" customHeight="false" outlineLevel="0" collapsed="false">
      <c r="A112" s="7" t="s">
        <v>229</v>
      </c>
      <c r="B112" s="7" t="s">
        <v>230</v>
      </c>
      <c r="C112" s="7" t="s">
        <v>231</v>
      </c>
      <c r="D112" s="7" t="s">
        <v>218</v>
      </c>
      <c r="E112" s="7" t="n">
        <v>2030</v>
      </c>
      <c r="F112" s="8" t="n">
        <v>48</v>
      </c>
      <c r="G112" s="9" t="n">
        <v>161</v>
      </c>
      <c r="H112" s="10" t="n">
        <v>402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232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233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234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235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50</v>
      </c>
      <c r="B6" s="7" t="s">
        <v>235</v>
      </c>
      <c r="C6" s="7" t="s">
        <v>51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52</v>
      </c>
      <c r="B7" s="7" t="s">
        <v>235</v>
      </c>
      <c r="C7" s="7" t="s">
        <v>53</v>
      </c>
      <c r="D7" s="7" t="s">
        <v>45</v>
      </c>
      <c r="E7" s="7" t="s">
        <v>54</v>
      </c>
    </row>
    <row r="8" customFormat="false" ht="15" hidden="false" customHeight="false" outlineLevel="0" collapsed="false">
      <c r="A8" s="7" t="s">
        <v>55</v>
      </c>
      <c r="B8" s="7" t="s">
        <v>235</v>
      </c>
      <c r="C8" s="7" t="s">
        <v>56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57</v>
      </c>
      <c r="B9" s="7" t="s">
        <v>235</v>
      </c>
      <c r="C9" s="7" t="s">
        <v>58</v>
      </c>
      <c r="D9" s="7" t="s">
        <v>45</v>
      </c>
      <c r="E9" s="7" t="s">
        <v>54</v>
      </c>
    </row>
    <row r="10" customFormat="false" ht="15" hidden="false" customHeight="false" outlineLevel="0" collapsed="false">
      <c r="A10" s="7" t="s">
        <v>59</v>
      </c>
      <c r="B10" s="7" t="s">
        <v>235</v>
      </c>
      <c r="C10" s="7" t="s">
        <v>60</v>
      </c>
      <c r="D10" s="7" t="s">
        <v>45</v>
      </c>
      <c r="E10" s="7" t="s">
        <v>46</v>
      </c>
    </row>
    <row r="11" customFormat="false" ht="15" hidden="false" customHeight="false" outlineLevel="0" collapsed="false">
      <c r="A11" s="7" t="s">
        <v>62</v>
      </c>
      <c r="B11" s="7" t="s">
        <v>235</v>
      </c>
      <c r="C11" s="7" t="s">
        <v>63</v>
      </c>
      <c r="D11" s="7" t="s">
        <v>64</v>
      </c>
      <c r="E11" s="7" t="s">
        <v>65</v>
      </c>
    </row>
    <row r="12" customFormat="false" ht="15" hidden="false" customHeight="false" outlineLevel="0" collapsed="false">
      <c r="A12" s="7" t="s">
        <v>66</v>
      </c>
      <c r="B12" s="7" t="s">
        <v>235</v>
      </c>
      <c r="C12" s="7" t="s">
        <v>67</v>
      </c>
      <c r="D12" s="7" t="s">
        <v>64</v>
      </c>
      <c r="E12" s="7" t="s">
        <v>65</v>
      </c>
    </row>
    <row r="13" customFormat="false" ht="15" hidden="false" customHeight="false" outlineLevel="0" collapsed="false">
      <c r="A13" s="7" t="s">
        <v>68</v>
      </c>
      <c r="B13" s="7" t="s">
        <v>235</v>
      </c>
      <c r="C13" s="7" t="s">
        <v>69</v>
      </c>
      <c r="D13" s="7" t="s">
        <v>45</v>
      </c>
      <c r="E13" s="7" t="s">
        <v>46</v>
      </c>
    </row>
    <row r="14" customFormat="false" ht="15" hidden="false" customHeight="false" outlineLevel="0" collapsed="false">
      <c r="A14" s="7" t="s">
        <v>74</v>
      </c>
      <c r="B14" s="7" t="s">
        <v>235</v>
      </c>
      <c r="C14" s="7" t="s">
        <v>75</v>
      </c>
      <c r="D14" s="7" t="s">
        <v>76</v>
      </c>
      <c r="E14" s="7" t="s">
        <v>77</v>
      </c>
    </row>
    <row r="15" customFormat="false" ht="15" hidden="false" customHeight="false" outlineLevel="0" collapsed="false">
      <c r="A15" s="7" t="s">
        <v>78</v>
      </c>
      <c r="B15" s="7" t="s">
        <v>235</v>
      </c>
      <c r="C15" s="7" t="s">
        <v>79</v>
      </c>
      <c r="D15" s="7" t="s">
        <v>80</v>
      </c>
      <c r="E15" s="7" t="s">
        <v>65</v>
      </c>
    </row>
    <row r="16" customFormat="false" ht="23.85" hidden="false" customHeight="false" outlineLevel="0" collapsed="false">
      <c r="A16" s="7" t="s">
        <v>81</v>
      </c>
      <c r="B16" s="7" t="s">
        <v>235</v>
      </c>
      <c r="C16" s="7" t="s">
        <v>82</v>
      </c>
      <c r="D16" s="7" t="s">
        <v>83</v>
      </c>
      <c r="E16" s="7" t="s">
        <v>65</v>
      </c>
    </row>
    <row r="17" customFormat="false" ht="15" hidden="false" customHeight="false" outlineLevel="0" collapsed="false">
      <c r="A17" s="7" t="s">
        <v>84</v>
      </c>
      <c r="B17" s="7" t="s">
        <v>235</v>
      </c>
      <c r="C17" s="7" t="s">
        <v>85</v>
      </c>
      <c r="D17" s="7" t="s">
        <v>86</v>
      </c>
      <c r="E17" s="7" t="s">
        <v>65</v>
      </c>
    </row>
    <row r="18" customFormat="false" ht="15" hidden="false" customHeight="false" outlineLevel="0" collapsed="false">
      <c r="A18" s="7" t="s">
        <v>87</v>
      </c>
      <c r="B18" s="7" t="s">
        <v>235</v>
      </c>
      <c r="C18" s="7" t="s">
        <v>88</v>
      </c>
      <c r="D18" s="7" t="s">
        <v>45</v>
      </c>
      <c r="E18" s="7" t="s">
        <v>54</v>
      </c>
    </row>
    <row r="19" customFormat="false" ht="15" hidden="false" customHeight="false" outlineLevel="0" collapsed="false">
      <c r="A19" s="7" t="s">
        <v>92</v>
      </c>
      <c r="B19" s="7" t="s">
        <v>235</v>
      </c>
      <c r="C19" s="7" t="s">
        <v>93</v>
      </c>
      <c r="D19" s="7" t="s">
        <v>76</v>
      </c>
      <c r="E19" s="7" t="s">
        <v>77</v>
      </c>
    </row>
    <row r="20" customFormat="false" ht="15" hidden="false" customHeight="false" outlineLevel="0" collapsed="false">
      <c r="A20" s="7" t="s">
        <v>94</v>
      </c>
      <c r="B20" s="7" t="s">
        <v>235</v>
      </c>
      <c r="C20" s="7" t="s">
        <v>95</v>
      </c>
      <c r="D20" s="7" t="s">
        <v>76</v>
      </c>
      <c r="E20" s="7" t="s">
        <v>77</v>
      </c>
    </row>
    <row r="21" customFormat="false" ht="15" hidden="false" customHeight="false" outlineLevel="0" collapsed="false">
      <c r="A21" s="7" t="s">
        <v>96</v>
      </c>
      <c r="B21" s="7" t="s">
        <v>235</v>
      </c>
      <c r="C21" s="7" t="s">
        <v>97</v>
      </c>
      <c r="D21" s="7" t="s">
        <v>76</v>
      </c>
      <c r="E21" s="7" t="s">
        <v>77</v>
      </c>
    </row>
    <row r="22" customFormat="false" ht="15" hidden="false" customHeight="false" outlineLevel="0" collapsed="false">
      <c r="A22" s="7" t="s">
        <v>98</v>
      </c>
      <c r="B22" s="7" t="s">
        <v>235</v>
      </c>
      <c r="C22" s="7" t="s">
        <v>99</v>
      </c>
      <c r="D22" s="7" t="s">
        <v>100</v>
      </c>
      <c r="E22" s="7" t="s">
        <v>65</v>
      </c>
    </row>
    <row r="23" customFormat="false" ht="15" hidden="false" customHeight="false" outlineLevel="0" collapsed="false">
      <c r="A23" s="7" t="s">
        <v>101</v>
      </c>
      <c r="B23" s="7" t="s">
        <v>235</v>
      </c>
      <c r="C23" s="7" t="s">
        <v>102</v>
      </c>
      <c r="D23" s="7" t="s">
        <v>80</v>
      </c>
      <c r="E23" s="7" t="s">
        <v>65</v>
      </c>
    </row>
    <row r="24" customFormat="false" ht="15" hidden="false" customHeight="false" outlineLevel="0" collapsed="false">
      <c r="A24" s="7" t="s">
        <v>103</v>
      </c>
      <c r="B24" s="7" t="s">
        <v>235</v>
      </c>
      <c r="C24" s="7" t="s">
        <v>104</v>
      </c>
      <c r="D24" s="7" t="s">
        <v>105</v>
      </c>
      <c r="E24" s="7" t="s">
        <v>65</v>
      </c>
    </row>
    <row r="25" customFormat="false" ht="15" hidden="false" customHeight="false" outlineLevel="0" collapsed="false">
      <c r="A25" s="7" t="s">
        <v>108</v>
      </c>
      <c r="B25" s="7" t="s">
        <v>236</v>
      </c>
      <c r="C25" s="7" t="s">
        <v>109</v>
      </c>
      <c r="D25" s="7" t="s">
        <v>110</v>
      </c>
      <c r="E25" s="7" t="s">
        <v>65</v>
      </c>
    </row>
    <row r="26" customFormat="false" ht="15" hidden="false" customHeight="false" outlineLevel="0" collapsed="false">
      <c r="A26" s="7" t="s">
        <v>111</v>
      </c>
      <c r="B26" s="7" t="s">
        <v>236</v>
      </c>
      <c r="C26" s="7" t="s">
        <v>112</v>
      </c>
      <c r="D26" s="7" t="s">
        <v>110</v>
      </c>
      <c r="E26" s="7" t="s">
        <v>65</v>
      </c>
    </row>
    <row r="27" customFormat="false" ht="15" hidden="false" customHeight="false" outlineLevel="0" collapsed="false">
      <c r="A27" s="7" t="s">
        <v>113</v>
      </c>
      <c r="B27" s="7" t="s">
        <v>236</v>
      </c>
      <c r="C27" s="7" t="s">
        <v>114</v>
      </c>
      <c r="D27" s="7" t="s">
        <v>105</v>
      </c>
      <c r="E27" s="7" t="s">
        <v>65</v>
      </c>
    </row>
    <row r="28" customFormat="false" ht="15" hidden="false" customHeight="false" outlineLevel="0" collapsed="false">
      <c r="A28" s="7" t="s">
        <v>115</v>
      </c>
      <c r="B28" s="7" t="s">
        <v>236</v>
      </c>
      <c r="C28" s="7" t="s">
        <v>116</v>
      </c>
      <c r="D28" s="7" t="s">
        <v>117</v>
      </c>
      <c r="E28" s="7" t="s">
        <v>65</v>
      </c>
    </row>
    <row r="29" customFormat="false" ht="15" hidden="false" customHeight="false" outlineLevel="0" collapsed="false">
      <c r="A29" s="7" t="s">
        <v>118</v>
      </c>
      <c r="B29" s="7" t="s">
        <v>236</v>
      </c>
      <c r="C29" s="7" t="s">
        <v>119</v>
      </c>
      <c r="D29" s="7" t="s">
        <v>117</v>
      </c>
      <c r="E29" s="7" t="s">
        <v>65</v>
      </c>
    </row>
    <row r="30" customFormat="false" ht="15" hidden="false" customHeight="false" outlineLevel="0" collapsed="false">
      <c r="A30" s="7" t="s">
        <v>120</v>
      </c>
      <c r="B30" s="7" t="s">
        <v>236</v>
      </c>
      <c r="C30" s="7" t="s">
        <v>121</v>
      </c>
      <c r="D30" s="7" t="s">
        <v>122</v>
      </c>
      <c r="E30" s="7" t="s">
        <v>65</v>
      </c>
    </row>
    <row r="31" customFormat="false" ht="15" hidden="false" customHeight="false" outlineLevel="0" collapsed="false">
      <c r="A31" s="7" t="s">
        <v>123</v>
      </c>
      <c r="B31" s="7" t="s">
        <v>236</v>
      </c>
      <c r="C31" s="7" t="s">
        <v>124</v>
      </c>
      <c r="D31" s="7" t="s">
        <v>80</v>
      </c>
      <c r="E31" s="7" t="s">
        <v>65</v>
      </c>
    </row>
    <row r="32" customFormat="false" ht="15" hidden="false" customHeight="false" outlineLevel="0" collapsed="false">
      <c r="A32" s="7" t="s">
        <v>126</v>
      </c>
      <c r="B32" s="7" t="s">
        <v>236</v>
      </c>
      <c r="C32" s="7" t="s">
        <v>127</v>
      </c>
      <c r="D32" s="7" t="s">
        <v>80</v>
      </c>
      <c r="E32" s="7" t="s">
        <v>65</v>
      </c>
    </row>
    <row r="33" customFormat="false" ht="15" hidden="false" customHeight="false" outlineLevel="0" collapsed="false">
      <c r="A33" s="7" t="s">
        <v>128</v>
      </c>
      <c r="B33" s="7" t="s">
        <v>236</v>
      </c>
      <c r="C33" s="7" t="s">
        <v>129</v>
      </c>
      <c r="D33" s="7" t="s">
        <v>80</v>
      </c>
      <c r="E33" s="7" t="s">
        <v>65</v>
      </c>
    </row>
    <row r="34" customFormat="false" ht="15" hidden="false" customHeight="false" outlineLevel="0" collapsed="false">
      <c r="A34" s="7" t="s">
        <v>130</v>
      </c>
      <c r="B34" s="7" t="s">
        <v>236</v>
      </c>
      <c r="C34" s="7" t="s">
        <v>131</v>
      </c>
      <c r="D34" s="7" t="s">
        <v>80</v>
      </c>
      <c r="E34" s="7" t="s">
        <v>65</v>
      </c>
    </row>
    <row r="35" customFormat="false" ht="23.85" hidden="false" customHeight="false" outlineLevel="0" collapsed="false">
      <c r="A35" s="7" t="s">
        <v>132</v>
      </c>
      <c r="B35" s="7" t="s">
        <v>236</v>
      </c>
      <c r="C35" s="7" t="s">
        <v>133</v>
      </c>
      <c r="D35" s="7" t="s">
        <v>76</v>
      </c>
      <c r="E35" s="7" t="s">
        <v>77</v>
      </c>
    </row>
    <row r="36" customFormat="false" ht="15" hidden="false" customHeight="false" outlineLevel="0" collapsed="false">
      <c r="A36" s="7" t="s">
        <v>134</v>
      </c>
      <c r="B36" s="7" t="s">
        <v>236</v>
      </c>
      <c r="C36" s="7" t="s">
        <v>135</v>
      </c>
      <c r="D36" s="7" t="s">
        <v>76</v>
      </c>
      <c r="E36" s="7" t="s">
        <v>77</v>
      </c>
    </row>
    <row r="37" customFormat="false" ht="15" hidden="false" customHeight="false" outlineLevel="0" collapsed="false">
      <c r="A37" s="7" t="s">
        <v>136</v>
      </c>
      <c r="B37" s="7" t="s">
        <v>236</v>
      </c>
      <c r="C37" s="7" t="s">
        <v>137</v>
      </c>
      <c r="D37" s="7" t="s">
        <v>80</v>
      </c>
      <c r="E37" s="7" t="s">
        <v>65</v>
      </c>
    </row>
    <row r="38" customFormat="false" ht="15" hidden="false" customHeight="false" outlineLevel="0" collapsed="false">
      <c r="A38" s="7" t="s">
        <v>138</v>
      </c>
      <c r="B38" s="7" t="s">
        <v>236</v>
      </c>
      <c r="C38" s="7" t="s">
        <v>139</v>
      </c>
      <c r="D38" s="7" t="s">
        <v>80</v>
      </c>
      <c r="E38" s="7" t="s">
        <v>65</v>
      </c>
    </row>
    <row r="39" customFormat="false" ht="15" hidden="false" customHeight="false" outlineLevel="0" collapsed="false">
      <c r="A39" s="7" t="s">
        <v>148</v>
      </c>
      <c r="B39" s="7" t="s">
        <v>237</v>
      </c>
      <c r="C39" s="7" t="s">
        <v>149</v>
      </c>
      <c r="D39" s="7" t="s">
        <v>45</v>
      </c>
      <c r="E39" s="7" t="s">
        <v>238</v>
      </c>
    </row>
    <row r="40" customFormat="false" ht="15" hidden="false" customHeight="false" outlineLevel="0" collapsed="false">
      <c r="A40" s="7" t="s">
        <v>155</v>
      </c>
      <c r="B40" s="7" t="s">
        <v>237</v>
      </c>
      <c r="C40" s="7" t="s">
        <v>156</v>
      </c>
      <c r="D40" s="7" t="s">
        <v>45</v>
      </c>
      <c r="E40" s="7" t="s">
        <v>238</v>
      </c>
    </row>
    <row r="41" customFormat="false" ht="15" hidden="false" customHeight="false" outlineLevel="0" collapsed="false">
      <c r="A41" s="7" t="s">
        <v>160</v>
      </c>
      <c r="B41" s="7" t="s">
        <v>237</v>
      </c>
      <c r="C41" s="7" t="s">
        <v>161</v>
      </c>
      <c r="D41" s="7" t="s">
        <v>45</v>
      </c>
      <c r="E41" s="7" t="s">
        <v>238</v>
      </c>
    </row>
    <row r="42" customFormat="false" ht="15" hidden="false" customHeight="false" outlineLevel="0" collapsed="false">
      <c r="A42" s="7" t="s">
        <v>164</v>
      </c>
      <c r="B42" s="7" t="s">
        <v>237</v>
      </c>
      <c r="C42" s="7" t="s">
        <v>165</v>
      </c>
      <c r="D42" s="7" t="s">
        <v>45</v>
      </c>
      <c r="E42" s="7" t="s">
        <v>238</v>
      </c>
    </row>
    <row r="43" customFormat="false" ht="15" hidden="false" customHeight="false" outlineLevel="0" collapsed="false">
      <c r="A43" s="7" t="s">
        <v>169</v>
      </c>
      <c r="B43" s="7" t="s">
        <v>237</v>
      </c>
      <c r="C43" s="7" t="s">
        <v>170</v>
      </c>
      <c r="D43" s="7" t="s">
        <v>45</v>
      </c>
      <c r="E43" s="7" t="s">
        <v>238</v>
      </c>
    </row>
    <row r="44" customFormat="false" ht="15" hidden="false" customHeight="false" outlineLevel="0" collapsed="false">
      <c r="A44" s="7" t="s">
        <v>177</v>
      </c>
      <c r="B44" s="7" t="s">
        <v>237</v>
      </c>
      <c r="C44" s="7" t="s">
        <v>178</v>
      </c>
      <c r="D44" s="7" t="s">
        <v>45</v>
      </c>
      <c r="E44" s="7" t="s">
        <v>238</v>
      </c>
    </row>
    <row r="45" customFormat="false" ht="15" hidden="false" customHeight="false" outlineLevel="0" collapsed="false">
      <c r="A45" s="7" t="s">
        <v>181</v>
      </c>
      <c r="B45" s="7" t="s">
        <v>237</v>
      </c>
      <c r="C45" s="7" t="s">
        <v>182</v>
      </c>
      <c r="D45" s="7" t="s">
        <v>45</v>
      </c>
      <c r="E45" s="7" t="s">
        <v>238</v>
      </c>
    </row>
    <row r="46" customFormat="false" ht="15" hidden="false" customHeight="false" outlineLevel="0" collapsed="false">
      <c r="A46" s="7" t="s">
        <v>184</v>
      </c>
      <c r="B46" s="7" t="s">
        <v>237</v>
      </c>
      <c r="C46" s="7" t="s">
        <v>185</v>
      </c>
      <c r="D46" s="7" t="s">
        <v>45</v>
      </c>
      <c r="E46" s="7" t="s">
        <v>238</v>
      </c>
    </row>
    <row r="47" customFormat="false" ht="15" hidden="false" customHeight="false" outlineLevel="0" collapsed="false">
      <c r="A47" s="7" t="s">
        <v>187</v>
      </c>
      <c r="B47" s="7" t="s">
        <v>237</v>
      </c>
      <c r="C47" s="7" t="s">
        <v>188</v>
      </c>
      <c r="D47" s="7" t="s">
        <v>45</v>
      </c>
      <c r="E47" s="7" t="s">
        <v>238</v>
      </c>
    </row>
    <row r="48" customFormat="false" ht="15" hidden="false" customHeight="false" outlineLevel="0" collapsed="false">
      <c r="A48" s="7" t="s">
        <v>190</v>
      </c>
      <c r="B48" s="7" t="s">
        <v>237</v>
      </c>
      <c r="C48" s="7" t="s">
        <v>191</v>
      </c>
      <c r="D48" s="7" t="s">
        <v>45</v>
      </c>
      <c r="E48" s="7" t="s">
        <v>238</v>
      </c>
    </row>
    <row r="49" customFormat="false" ht="15" hidden="false" customHeight="false" outlineLevel="0" collapsed="false">
      <c r="A49" s="7" t="s">
        <v>193</v>
      </c>
      <c r="B49" s="7" t="s">
        <v>237</v>
      </c>
      <c r="C49" s="7" t="s">
        <v>194</v>
      </c>
      <c r="D49" s="7" t="s">
        <v>45</v>
      </c>
      <c r="E49" s="7" t="s">
        <v>238</v>
      </c>
    </row>
    <row r="50" customFormat="false" ht="15" hidden="false" customHeight="false" outlineLevel="0" collapsed="false">
      <c r="A50" s="7" t="s">
        <v>197</v>
      </c>
      <c r="B50" s="7" t="s">
        <v>237</v>
      </c>
      <c r="C50" s="7" t="s">
        <v>198</v>
      </c>
      <c r="D50" s="7" t="s">
        <v>45</v>
      </c>
      <c r="E50" s="7" t="s">
        <v>238</v>
      </c>
    </row>
    <row r="51" customFormat="false" ht="15" hidden="false" customHeight="false" outlineLevel="0" collapsed="false">
      <c r="A51" s="7" t="s">
        <v>199</v>
      </c>
      <c r="B51" s="7" t="s">
        <v>237</v>
      </c>
      <c r="C51" s="7" t="s">
        <v>200</v>
      </c>
      <c r="D51" s="7" t="s">
        <v>45</v>
      </c>
      <c r="E51" s="7" t="s">
        <v>238</v>
      </c>
    </row>
    <row r="52" customFormat="false" ht="15" hidden="false" customHeight="false" outlineLevel="0" collapsed="false">
      <c r="A52" s="7" t="s">
        <v>203</v>
      </c>
      <c r="B52" s="7" t="s">
        <v>237</v>
      </c>
      <c r="C52" s="7" t="s">
        <v>204</v>
      </c>
      <c r="D52" s="7" t="s">
        <v>45</v>
      </c>
      <c r="E52" s="7" t="s">
        <v>238</v>
      </c>
    </row>
    <row r="53" customFormat="false" ht="23.85" hidden="false" customHeight="false" outlineLevel="0" collapsed="false">
      <c r="A53" s="7" t="s">
        <v>213</v>
      </c>
      <c r="B53" s="7" t="s">
        <v>239</v>
      </c>
      <c r="C53" s="7" t="s">
        <v>214</v>
      </c>
      <c r="D53" s="7" t="s">
        <v>240</v>
      </c>
      <c r="E53" s="7" t="s">
        <v>241</v>
      </c>
    </row>
    <row r="54" customFormat="false" ht="23.85" hidden="false" customHeight="false" outlineLevel="0" collapsed="false">
      <c r="A54" s="7" t="s">
        <v>219</v>
      </c>
      <c r="B54" s="7" t="s">
        <v>239</v>
      </c>
      <c r="C54" s="7" t="s">
        <v>220</v>
      </c>
      <c r="D54" s="7" t="s">
        <v>240</v>
      </c>
      <c r="E54" s="7" t="s">
        <v>241</v>
      </c>
    </row>
    <row r="55" customFormat="false" ht="23.85" hidden="false" customHeight="false" outlineLevel="0" collapsed="false">
      <c r="A55" s="7" t="s">
        <v>222</v>
      </c>
      <c r="B55" s="7" t="s">
        <v>239</v>
      </c>
      <c r="C55" s="7" t="s">
        <v>223</v>
      </c>
      <c r="D55" s="7" t="s">
        <v>240</v>
      </c>
      <c r="E55" s="7" t="s">
        <v>241</v>
      </c>
    </row>
    <row r="56" customFormat="false" ht="23.85" hidden="false" customHeight="false" outlineLevel="0" collapsed="false">
      <c r="A56" s="7" t="s">
        <v>225</v>
      </c>
      <c r="B56" s="7" t="s">
        <v>239</v>
      </c>
      <c r="C56" s="7" t="s">
        <v>226</v>
      </c>
      <c r="D56" s="7" t="s">
        <v>240</v>
      </c>
      <c r="E56" s="7" t="s">
        <v>241</v>
      </c>
    </row>
    <row r="57" customFormat="false" ht="23.85" hidden="false" customHeight="false" outlineLevel="0" collapsed="false">
      <c r="A57" s="7" t="s">
        <v>227</v>
      </c>
      <c r="B57" s="7" t="s">
        <v>239</v>
      </c>
      <c r="C57" s="7" t="s">
        <v>228</v>
      </c>
      <c r="D57" s="7" t="s">
        <v>240</v>
      </c>
      <c r="E57" s="7" t="s">
        <v>241</v>
      </c>
    </row>
    <row r="58" customFormat="false" ht="23.85" hidden="false" customHeight="false" outlineLevel="0" collapsed="false">
      <c r="A58" s="7" t="s">
        <v>229</v>
      </c>
      <c r="B58" s="7" t="s">
        <v>239</v>
      </c>
      <c r="C58" s="7" t="s">
        <v>230</v>
      </c>
      <c r="D58" s="7" t="s">
        <v>240</v>
      </c>
      <c r="E58" s="7" t="s">
        <v>241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2026-05-10T10:24:08Z</dcterms:created>
  <dc:creator>openpyxl</dc:creator>
  <dc:description/>
  <dc:language>en-US</dc:language>
  <cp:lastModifiedBy/>
  <dcterms:modified xsi:type="dcterms:W3CDTF">2026-05-10T10:24:08Z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