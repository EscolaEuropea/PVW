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<sst xmlns="http://schemas.openxmlformats.org/spreadsheetml/2006/main" count="936" uniqueCount="253">
  <si>
    <t xml:space="preserve">PVW.one ARCHETYPE — Multipurpose Terminal</t>
  </si>
  <si>
    <t xml:space="preserve">archetype_id: terminal_multipurpose · version: 1.0.0 · category: Terminal</t>
  </si>
  <si>
    <t xml:space="preserve">ARCHETYPE METADATA</t>
  </si>
  <si>
    <t xml:space="preserve">archetype_id</t>
  </si>
  <si>
    <t xml:space="preserve">terminal_multipurpose</t>
  </si>
  <si>
    <t xml:space="preserve">archetype_name</t>
  </si>
  <si>
    <t xml:space="preserve">Multipurpose Terminal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</si>
  <si>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</si>
  <si>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</si>
  <si>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</si>
  <si>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</si>
  <si>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</si>
  <si>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</si>
  <si>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</si>
  <si>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archetype_terminal_multipurpose.schema.json</t>
  </si>
  <si>
    <t xml:space="preserve">DEFINITION</t>
  </si>
  <si>
    <t xml:space="preserve">A Multipurpose Terminal handles mixed cargo: general cargo, project cargo, minor bulks, occasional containers, sometimes RoRo. The terminal is more flexible than specialised facilities and serves smaller volumes per cargo type. Common in older / smaller ports or as overflow capacity in larger ports.</t>
  </si>
  <si>
    <t xml:space="preserve">SIZE TIERS (the 3 default profiles)</t>
  </si>
  <si>
    <t xml:space="preserve">S — Small</t>
  </si>
  <si>
    <t xml:space="preserve">≤ 200 000 t/year · 1 berth · niche cargo flows</t>
  </si>
  <si>
    <t xml:space="preserve">M — Medium</t>
  </si>
  <si>
    <t xml:space="preserve">200 000 – 800 000 t/year · 2 berths · regional logistics hub</t>
  </si>
  <si>
    <t xml:space="preserve">L — Large</t>
  </si>
  <si>
    <t xml:space="preserve">≥ 800 000 t/year · 3+ berths · diversified multipurpose facility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</si>
  <si>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</si>
  <si>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</si>
  <si>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</si>
  <si>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</si>
  <si>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</si>
  <si>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</si>
  <si>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</si>
  <si>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</si>
  <si>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</si>
  <si>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</si>
  <si>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</si>
  <si>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</si>
  <si>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</si>
  <si>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</si>
  <si>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</si>
  <si>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</si>
  <si>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</si>
  <si>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</si>
  <si>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</si>
  <si>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</si>
  <si>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</si>
  <si>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</si>
  <si>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</si>
  <si>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</si>
  <si>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</si>
  <si>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</si>
  <si>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</si>
  <si>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</si>
  <si>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</si>
  <si>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</si>
  <si>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</si>
  <si>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</si>
  <si>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</si>
  <si>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</si>
  <si>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</si>
  <si>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</si>
  <si>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</si>
  <si>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</si>
  <si>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</si>
  <si>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</si>
  <si>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</si>
  <si>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</si>
  <si>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</si>
  <si>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</si>
  <si>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</si>
  <si>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</si>
  <si>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</si>
  <si>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</si>
  <si>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</si>
  <si>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</si>
  <si>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</si>
  <si>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</si>
  <si>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</si>
  <si>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</si>
  <si>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</si>
  <si>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</si>
  <si>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</si>
  <si>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</si>
  <si>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</si>
  <si>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</si>
  <si>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</si>
  <si>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t/year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</si>
  <si>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</si>
  <si>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</si>
  <si>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</si>
  <si>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</si>
  <si>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</si>
  <si>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</si>
  <si>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</si>
  <si>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</si>
  <si>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</si>
  <si>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</si>
  <si>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</si>
  <si>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</si>
  <si>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</si>
  <si>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</si>
  <si>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</si>
  <si>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</si>
  <si>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</si>
  <si>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</si>
  <si>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</si>
  <si>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</si>
  <si>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</si>
  <si>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</si>
  <si>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</si>
  <si>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</si>
  <si>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</si>
  <si>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</si>
  <si>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</si>
  <si>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cargo_mix_general_pct</t>
  </si>
  <si>
    <t xml:space="preserve">Cargo mix — general cargo</t>
  </si>
  <si>
    <t xml:space="preserve">cargo_mix_project_pct</t>
  </si>
  <si>
    <t xml:space="preserve">Cargo mix — project cargo</t>
  </si>
  <si>
    <t xml:space="preserve">cargo_mix_minor_bulk_pct</t>
  </si>
  <si>
    <t xml:space="preserve">Cargo mix — minor bulks</t>
  </si>
  <si>
    <t xml:space="preserve">cargo_mix_container_pct</t>
  </si>
  <si>
    <t xml:space="preserve">Cargo mix — containers</t>
  </si>
  <si>
    <t xml:space="preserve">cargo_mix_other_pct</t>
  </si>
  <si>
    <t xml:space="preserve">Cargo mix — other</t>
  </si>
  <si>
    <t xml:space="preserve">warehouse_area_m2</t>
  </si>
  <si>
    <t xml:space="preserve">Covered warehouse area</t>
  </si>
  <si>
    <t xml:space="preserve">open_storage_area_m2</t>
  </si>
  <si>
    <t xml:space="preserve">Open storage area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</si>
  <si>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</si>
  <si>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</si>
  <si>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</si>
  <si>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Quay length</t>
  </si>
  <si>
    <t xml:space="preserve">m</t>
  </si>
  <si>
    <t xml:space="preserve">quay_max_draft_m</t>
  </si>
  <si>
    <t xml:space="preserve">Maximum quay draft</t>
  </si>
  <si>
    <t xml:space="preserve">number_of_berths</t>
  </si>
  <si>
    <t xml:space="preserve">Number of berths</t>
  </si>
  <si>
    <t xml:space="preserve">berths</t>
  </si>
  <si>
    <t xml:space="preserve">mobile_harbour_cranes_qty</t>
  </si>
  <si>
    <t xml:space="preserve">Mobile harbour cranes</t>
  </si>
  <si>
    <t xml:space="preserve">cranes</t>
  </si>
  <si>
    <t xml:space="preserve">max_lift_capacity_t</t>
  </si>
  <si>
    <t xml:space="preserve">Maximum lift capacity</t>
  </si>
  <si>
    <t xml:space="preserve">t</t>
  </si>
  <si>
    <t xml:space="preserve">forklifts_qty</t>
  </si>
  <si>
    <t xml:space="preserve">Forklifts</t>
  </si>
  <si>
    <t xml:space="preserve">forklifts</t>
  </si>
  <si>
    <t xml:space="preserve">reach_stackers_qty</t>
  </si>
  <si>
    <t xml:space="preserve">Reach stackers</t>
  </si>
  <si>
    <t xml:space="preserve">machines</t>
  </si>
  <si>
    <t xml:space="preserve">on_dock_rail</t>
  </si>
  <si>
    <t xml:space="preserve">On-dock rail siding</t>
  </si>
  <si>
    <t xml:space="preserve">rail_tracks_qty</t>
  </si>
  <si>
    <t xml:space="preserve">Rail tracks</t>
  </si>
  <si>
    <t xml:space="preserve">tracks</t>
  </si>
  <si>
    <t xml:space="preserve">ops_hours_per_day</t>
  </si>
  <si>
    <t xml:space="preserve">Operating hours per day</t>
  </si>
  <si>
    <t xml:space="preserve">h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</si>
  <si>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</si>
  <si>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</si>
  <si>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</si>
  <si>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</si>
  <si>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</si>
  <si>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</si>
  <si>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</si>
  <si>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</si>
  <si>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breakbulk_shipping_line</t>
  </si>
  <si>
    <t xml:space="preserve">Breakbulk / general cargo shipping line</t>
  </si>
  <si>
    <t xml:space="preserve">inbound+outbound</t>
  </si>
  <si>
    <t xml:space="preserve">weekly</t>
  </si>
  <si>
    <t xml:space="preserve">1-3</t>
  </si>
  <si>
    <t xml:space="preserve">3-6</t>
  </si>
  <si>
    <t xml:space="preserve">6-12</t>
  </si>
  <si>
    <t xml:space="preserve">project_cargo_operator</t>
  </si>
  <si>
    <t xml:space="preserve">Project cargo / heavy lift operator</t>
  </si>
  <si>
    <t xml:space="preserve">inbound</t>
  </si>
  <si>
    <t xml:space="preserve">monthly</t>
  </si>
  <si>
    <t xml:space="preserve">0-2/year</t>
  </si>
  <si>
    <t xml:space="preserve">2-6/year</t>
  </si>
  <si>
    <t xml:space="preserve">6-15/year</t>
  </si>
  <si>
    <t xml:space="preserve">minor_bulk_trader</t>
  </si>
  <si>
    <t xml:space="preserve">Minor bulks trader (steel, fertiliser, etc.)</t>
  </si>
  <si>
    <t xml:space="preserve">5-10</t>
  </si>
  <si>
    <t xml:space="preserve">15-30</t>
  </si>
  <si>
    <t xml:space="preserve">30+</t>
  </si>
  <si>
    <t xml:space="preserve">warehouse_operator</t>
  </si>
  <si>
    <t xml:space="preserve">Warehouse / storage tenant</t>
  </si>
  <si>
    <t xml:space="preserve">service</t>
  </si>
  <si>
    <t xml:space="preserve">continuous</t>
  </si>
  <si>
    <t xml:space="preserve">3-8</t>
  </si>
  <si>
    <t xml:space="preserve">8+</t>
  </si>
  <si>
    <t xml:space="preserve">road_haulier</t>
  </si>
  <si>
    <t xml:space="preserve">Road haulage company</t>
  </si>
  <si>
    <t xml:space="preserve">outbound</t>
  </si>
  <si>
    <t xml:space="preserve">10-30</t>
  </si>
  <si>
    <t xml:space="preserve">30-80</t>
  </si>
  <si>
    <t xml:space="preserve">100+</t>
  </si>
  <si>
    <t xml:space="preserve">rail_operator</t>
  </si>
  <si>
    <t xml:space="preserve">Rail operator</t>
  </si>
  <si>
    <t xml:space="preserve">0</t>
  </si>
  <si>
    <t xml:space="preserve">0-1</t>
  </si>
  <si>
    <t xml:space="preserve">port_authority</t>
  </si>
  <si>
    <t xml:space="preserve">Port authority</t>
  </si>
  <si>
    <t xml:space="preserve">regulator</t>
  </si>
  <si>
    <t xml:space="preserve">1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</si>
  <si>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</si>
  <si>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</si>
  <si>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</si>
  <si>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</si>
  <si>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</si>
  <si>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</si>
  <si>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</si>
  <si>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</si>
  <si>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</si>
  <si>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</si>
  <si>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per call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</si>
  <si>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</si>
  <si>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</si>
  <si>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</si>
  <si>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</si>
  <si>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</si>
  <si>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</si>
  <si>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</si>
  <si>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</si>
  <si>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</si>
  <si>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</si>
  <si>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</si>
  <si>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</si>
  <si>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</si>
  <si>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</si>
  <si>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</si>
  <si>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(cranes, warehouse, lighting)</t>
  </si>
  <si>
    <t xml:space="preserve">scope_2</t>
  </si>
  <si>
    <t xml:space="preserve">BAU</t>
  </si>
  <si>
    <t xml:space="preserve">FuelEU+AFIR</t>
  </si>
  <si>
    <t xml:space="preserve">Accelerated</t>
  </si>
  <si>
    <t xml:space="preserve">yard_diesel</t>
  </si>
  <si>
    <t xml:space="preserve">Yard equipment diesel (forklifts, reach stackers)</t>
  </si>
  <si>
    <t xml:space="preserve">scope_1</t>
  </si>
  <si>
    <t xml:space="preserve">vessels_at_berth_emissions</t>
  </si>
  <si>
    <t xml:space="preserve">Vessels at berth (attributed)</t>
  </si>
  <si>
    <t xml:space="preserve">scope_3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</si>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</sst>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1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120000</v>
      </c>
      <c r="F17" s="9" t="n">
        <v>500000</v>
      </c>
      <c r="G17" s="10" t="n">
        <v>1200000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81</v>
      </c>
      <c r="D26" s="7" t="s">
        <v>64</v>
      </c>
      <c r="E26" s="8" t="n">
        <v>40</v>
      </c>
      <c r="F26" s="9" t="n">
        <v>35</v>
      </c>
      <c r="G26" s="10" t="n">
        <v>30</v>
      </c>
      <c r="H26" s="7"/>
    </row>
    <row r="27" customFormat="false" ht="15" hidden="false" customHeight="false" outlineLevel="0" collapsed="false">
      <c r="A27" s="7" t="s">
        <v>115</v>
      </c>
      <c r="B27" s="7" t="s">
        <v>116</v>
      </c>
      <c r="C27" s="7" t="s">
        <v>81</v>
      </c>
      <c r="D27" s="7" t="s">
        <v>64</v>
      </c>
      <c r="E27" s="8" t="n">
        <v>15</v>
      </c>
      <c r="F27" s="9" t="n">
        <v>20</v>
      </c>
      <c r="G27" s="10" t="n">
        <v>25</v>
      </c>
      <c r="H27" s="7"/>
    </row>
    <row r="28" customFormat="false" ht="15" hidden="false" customHeight="false" outlineLevel="0" collapsed="false">
      <c r="A28" s="7" t="s">
        <v>117</v>
      </c>
      <c r="B28" s="7" t="s">
        <v>118</v>
      </c>
      <c r="C28" s="7" t="s">
        <v>81</v>
      </c>
      <c r="D28" s="7" t="s">
        <v>64</v>
      </c>
      <c r="E28" s="8" t="n">
        <v>35</v>
      </c>
      <c r="F28" s="9" t="n">
        <v>30</v>
      </c>
      <c r="G28" s="10" t="n">
        <v>25</v>
      </c>
      <c r="H28" s="7"/>
    </row>
    <row r="29" customFormat="false" ht="15" hidden="false" customHeight="false" outlineLevel="0" collapsed="false">
      <c r="A29" s="7" t="s">
        <v>119</v>
      </c>
      <c r="B29" s="7" t="s">
        <v>120</v>
      </c>
      <c r="C29" s="7" t="s">
        <v>81</v>
      </c>
      <c r="D29" s="7" t="s">
        <v>64</v>
      </c>
      <c r="E29" s="8" t="n">
        <v>5</v>
      </c>
      <c r="F29" s="9" t="n">
        <v>10</v>
      </c>
      <c r="G29" s="10" t="n">
        <v>15</v>
      </c>
      <c r="H29" s="7"/>
    </row>
    <row r="30" customFormat="false" ht="15" hidden="false" customHeight="false" outlineLevel="0" collapsed="false">
      <c r="A30" s="7" t="s">
        <v>121</v>
      </c>
      <c r="B30" s="7" t="s">
        <v>122</v>
      </c>
      <c r="C30" s="7" t="s">
        <v>81</v>
      </c>
      <c r="D30" s="7" t="s">
        <v>64</v>
      </c>
      <c r="E30" s="8" t="n">
        <v>5</v>
      </c>
      <c r="F30" s="9" t="n">
        <v>5</v>
      </c>
      <c r="G30" s="10" t="n">
        <v>5</v>
      </c>
      <c r="H30" s="7"/>
    </row>
    <row r="31" customFormat="false" ht="15" hidden="false" customHeight="false" outlineLevel="0" collapsed="false">
      <c r="A31" s="7" t="s">
        <v>123</v>
      </c>
      <c r="B31" s="7" t="s">
        <v>124</v>
      </c>
      <c r="C31" s="7" t="s">
        <v>109</v>
      </c>
      <c r="D31" s="7" t="s">
        <v>71</v>
      </c>
      <c r="E31" s="8" t="n">
        <v>5000</v>
      </c>
      <c r="F31" s="9" t="n">
        <v>20000</v>
      </c>
      <c r="G31" s="10" t="n">
        <v>50000</v>
      </c>
      <c r="H31" s="7"/>
    </row>
    <row r="32" customFormat="false" ht="15" hidden="false" customHeight="false" outlineLevel="0" collapsed="false">
      <c r="A32" s="7" t="s">
        <v>125</v>
      </c>
      <c r="B32" s="7" t="s">
        <v>126</v>
      </c>
      <c r="C32" s="7" t="s">
        <v>109</v>
      </c>
      <c r="D32" s="7" t="s">
        <v>71</v>
      </c>
      <c r="E32" s="8" t="n">
        <v>20000</v>
      </c>
      <c r="F32" s="9" t="n">
        <v>80000</v>
      </c>
      <c r="G32" s="10" t="n">
        <v>200000</v>
      </c>
      <c r="H32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128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129</v>
      </c>
      <c r="B5" s="7" t="s">
        <v>130</v>
      </c>
      <c r="C5" s="7" t="s">
        <v>131</v>
      </c>
      <c r="D5" s="7" t="s">
        <v>71</v>
      </c>
      <c r="E5" s="8" t="n">
        <v>200</v>
      </c>
      <c r="F5" s="9" t="n">
        <v>400</v>
      </c>
      <c r="G5" s="10" t="n">
        <v>800</v>
      </c>
      <c r="H5" s="7"/>
    </row>
    <row r="6" customFormat="false" ht="15" hidden="false" customHeight="false" outlineLevel="0" collapsed="false">
      <c r="A6" s="7" t="s">
        <v>132</v>
      </c>
      <c r="B6" s="7" t="s">
        <v>133</v>
      </c>
      <c r="C6" s="7" t="s">
        <v>131</v>
      </c>
      <c r="D6" s="7" t="s">
        <v>64</v>
      </c>
      <c r="E6" s="8" t="n">
        <v>8</v>
      </c>
      <c r="F6" s="9" t="n">
        <v>10</v>
      </c>
      <c r="G6" s="10" t="n">
        <v>12</v>
      </c>
      <c r="H6" s="7"/>
    </row>
    <row r="7" customFormat="false" ht="15" hidden="false" customHeight="false" outlineLevel="0" collapsed="false">
      <c r="A7" s="7" t="s">
        <v>134</v>
      </c>
      <c r="B7" s="7" t="s">
        <v>135</v>
      </c>
      <c r="C7" s="7" t="s">
        <v>136</v>
      </c>
      <c r="D7" s="7" t="s">
        <v>71</v>
      </c>
      <c r="E7" s="8" t="n">
        <v>1</v>
      </c>
      <c r="F7" s="9" t="n">
        <v>2</v>
      </c>
      <c r="G7" s="10" t="n">
        <v>4</v>
      </c>
      <c r="H7" s="7"/>
    </row>
    <row r="8" customFormat="false" ht="15" hidden="false" customHeight="false" outlineLevel="0" collapsed="false">
      <c r="A8" s="7" t="s">
        <v>137</v>
      </c>
      <c r="B8" s="7" t="s">
        <v>138</v>
      </c>
      <c r="C8" s="7" t="s">
        <v>139</v>
      </c>
      <c r="D8" s="7" t="s">
        <v>71</v>
      </c>
      <c r="E8" s="8" t="n">
        <v>1</v>
      </c>
      <c r="F8" s="9" t="n">
        <v>3</v>
      </c>
      <c r="G8" s="10" t="n">
        <v>6</v>
      </c>
      <c r="H8" s="7"/>
    </row>
    <row r="9" customFormat="false" ht="15" hidden="false" customHeight="false" outlineLevel="0" collapsed="false">
      <c r="A9" s="7" t="s">
        <v>140</v>
      </c>
      <c r="B9" s="7" t="s">
        <v>141</v>
      </c>
      <c r="C9" s="7" t="s">
        <v>142</v>
      </c>
      <c r="D9" s="7" t="s">
        <v>71</v>
      </c>
      <c r="E9" s="8" t="n">
        <v>80</v>
      </c>
      <c r="F9" s="9" t="n">
        <v>120</v>
      </c>
      <c r="G9" s="10" t="n">
        <v>200</v>
      </c>
      <c r="H9" s="7"/>
    </row>
    <row r="10" customFormat="false" ht="15" hidden="false" customHeight="false" outlineLevel="0" collapsed="false">
      <c r="A10" s="7" t="s">
        <v>143</v>
      </c>
      <c r="B10" s="7" t="s">
        <v>144</v>
      </c>
      <c r="C10" s="7" t="s">
        <v>145</v>
      </c>
      <c r="D10" s="7" t="s">
        <v>71</v>
      </c>
      <c r="E10" s="8" t="n">
        <v>4</v>
      </c>
      <c r="F10" s="9" t="n">
        <v>12</v>
      </c>
      <c r="G10" s="10" t="n">
        <v>30</v>
      </c>
      <c r="H10" s="7"/>
    </row>
    <row r="11" customFormat="false" ht="15" hidden="false" customHeight="false" outlineLevel="0" collapsed="false">
      <c r="A11" s="7" t="s">
        <v>146</v>
      </c>
      <c r="B11" s="7" t="s">
        <v>147</v>
      </c>
      <c r="C11" s="7" t="s">
        <v>148</v>
      </c>
      <c r="D11" s="7" t="s">
        <v>71</v>
      </c>
      <c r="E11" s="8" t="n">
        <v>1</v>
      </c>
      <c r="F11" s="9" t="n">
        <v>3</v>
      </c>
      <c r="G11" s="10" t="n">
        <v>8</v>
      </c>
      <c r="H11" s="7"/>
    </row>
    <row r="12" customFormat="false" ht="15" hidden="false" customHeight="false" outlineLevel="0" collapsed="false">
      <c r="A12" s="7" t="s">
        <v>149</v>
      </c>
      <c r="B12" s="7" t="s">
        <v>150</v>
      </c>
      <c r="C12" s="7" t="s">
        <v>95</v>
      </c>
      <c r="D12" s="7" t="s">
        <v>96</v>
      </c>
      <c r="E12" s="11" t="b">
        <f aca="false">FALSE()</f>
        <v>0</v>
      </c>
      <c r="F12" s="12" t="b">
        <f aca="false">TRUE()</f>
        <v>1</v>
      </c>
      <c r="G12" s="13" t="b">
        <f aca="false">TRUE()</f>
        <v>1</v>
      </c>
      <c r="H12" s="7"/>
    </row>
    <row r="13" customFormat="false" ht="15" hidden="false" customHeight="false" outlineLevel="0" collapsed="false">
      <c r="A13" s="7" t="s">
        <v>151</v>
      </c>
      <c r="B13" s="7" t="s">
        <v>152</v>
      </c>
      <c r="C13" s="7" t="s">
        <v>153</v>
      </c>
      <c r="D13" s="7" t="s">
        <v>71</v>
      </c>
      <c r="E13" s="8" t="n">
        <v>0</v>
      </c>
      <c r="F13" s="9" t="n">
        <v>1</v>
      </c>
      <c r="G13" s="10" t="n">
        <v>3</v>
      </c>
      <c r="H13" s="7"/>
    </row>
    <row r="14" customFormat="false" ht="15" hidden="false" customHeight="false" outlineLevel="0" collapsed="false">
      <c r="A14" s="7" t="s">
        <v>154</v>
      </c>
      <c r="B14" s="7" t="s">
        <v>155</v>
      </c>
      <c r="C14" s="7" t="s">
        <v>156</v>
      </c>
      <c r="D14" s="7" t="s">
        <v>71</v>
      </c>
      <c r="E14" s="8" t="n">
        <v>12</v>
      </c>
      <c r="F14" s="9" t="n">
        <v>16</v>
      </c>
      <c r="G14" s="10" t="n">
        <v>20</v>
      </c>
      <c r="H14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159</v>
      </c>
      <c r="B4" s="6" t="s">
        <v>36</v>
      </c>
      <c r="C4" s="6" t="s">
        <v>160</v>
      </c>
      <c r="D4" s="6" t="s">
        <v>161</v>
      </c>
      <c r="E4" s="6" t="s">
        <v>162</v>
      </c>
      <c r="F4" s="6" t="s">
        <v>163</v>
      </c>
      <c r="G4" s="6" t="s">
        <v>164</v>
      </c>
      <c r="H4" s="6" t="s">
        <v>42</v>
      </c>
    </row>
    <row r="5" customFormat="false" ht="23.85" hidden="false" customHeight="false" outlineLevel="0" collapsed="false">
      <c r="A5" s="7" t="s">
        <v>165</v>
      </c>
      <c r="B5" s="7" t="s">
        <v>166</v>
      </c>
      <c r="C5" s="7" t="s">
        <v>167</v>
      </c>
      <c r="D5" s="7" t="s">
        <v>168</v>
      </c>
      <c r="E5" s="8" t="s">
        <v>169</v>
      </c>
      <c r="F5" s="9" t="s">
        <v>170</v>
      </c>
      <c r="G5" s="10" t="s">
        <v>171</v>
      </c>
      <c r="H5" s="7"/>
    </row>
    <row r="6" customFormat="false" ht="15" hidden="false" customHeight="false" outlineLevel="0" collapsed="false">
      <c r="A6" s="7" t="s">
        <v>172</v>
      </c>
      <c r="B6" s="7" t="s">
        <v>173</v>
      </c>
      <c r="C6" s="7" t="s">
        <v>174</v>
      </c>
      <c r="D6" s="7" t="s">
        <v>175</v>
      </c>
      <c r="E6" s="8" t="s">
        <v>176</v>
      </c>
      <c r="F6" s="9" t="s">
        <v>177</v>
      </c>
      <c r="G6" s="10" t="s">
        <v>178</v>
      </c>
      <c r="H6" s="7"/>
    </row>
    <row r="7" customFormat="false" ht="23.85" hidden="false" customHeight="false" outlineLevel="0" collapsed="false">
      <c r="A7" s="7" t="s">
        <v>179</v>
      </c>
      <c r="B7" s="7" t="s">
        <v>180</v>
      </c>
      <c r="C7" s="7" t="s">
        <v>167</v>
      </c>
      <c r="D7" s="7" t="s">
        <v>168</v>
      </c>
      <c r="E7" s="8" t="s">
        <v>181</v>
      </c>
      <c r="F7" s="9" t="s">
        <v>182</v>
      </c>
      <c r="G7" s="10" t="s">
        <v>183</v>
      </c>
      <c r="H7" s="7"/>
    </row>
    <row r="8" customFormat="false" ht="15" hidden="false" customHeight="false" outlineLevel="0" collapsed="false">
      <c r="A8" s="7" t="s">
        <v>184</v>
      </c>
      <c r="B8" s="7" t="s">
        <v>185</v>
      </c>
      <c r="C8" s="7" t="s">
        <v>186</v>
      </c>
      <c r="D8" s="7" t="s">
        <v>187</v>
      </c>
      <c r="E8" s="8" t="s">
        <v>169</v>
      </c>
      <c r="F8" s="9" t="s">
        <v>188</v>
      </c>
      <c r="G8" s="10" t="s">
        <v>189</v>
      </c>
      <c r="H8" s="7"/>
    </row>
    <row r="9" customFormat="false" ht="15" hidden="false" customHeight="false" outlineLevel="0" collapsed="false">
      <c r="A9" s="7" t="s">
        <v>190</v>
      </c>
      <c r="B9" s="7" t="s">
        <v>191</v>
      </c>
      <c r="C9" s="7" t="s">
        <v>192</v>
      </c>
      <c r="D9" s="7" t="s">
        <v>187</v>
      </c>
      <c r="E9" s="8" t="s">
        <v>193</v>
      </c>
      <c r="F9" s="9" t="s">
        <v>194</v>
      </c>
      <c r="G9" s="10" t="s">
        <v>195</v>
      </c>
      <c r="H9" s="7"/>
    </row>
    <row r="10" customFormat="false" ht="15" hidden="false" customHeight="false" outlineLevel="0" collapsed="false">
      <c r="A10" s="7" t="s">
        <v>196</v>
      </c>
      <c r="B10" s="7" t="s">
        <v>197</v>
      </c>
      <c r="C10" s="7" t="s">
        <v>192</v>
      </c>
      <c r="D10" s="7" t="s">
        <v>168</v>
      </c>
      <c r="E10" s="8" t="s">
        <v>198</v>
      </c>
      <c r="F10" s="9" t="s">
        <v>199</v>
      </c>
      <c r="G10" s="10" t="s">
        <v>169</v>
      </c>
      <c r="H10" s="7"/>
    </row>
    <row r="11" customFormat="false" ht="15" hidden="false" customHeight="false" outlineLevel="0" collapsed="false">
      <c r="A11" s="7" t="s">
        <v>200</v>
      </c>
      <c r="B11" s="7" t="s">
        <v>201</v>
      </c>
      <c r="C11" s="7" t="s">
        <v>202</v>
      </c>
      <c r="D11" s="7" t="s">
        <v>187</v>
      </c>
      <c r="E11" s="8" t="s">
        <v>203</v>
      </c>
      <c r="F11" s="9" t="s">
        <v>203</v>
      </c>
      <c r="G11" s="10" t="s">
        <v>203</v>
      </c>
      <c r="H11" s="7" t="s">
        <v>204</v>
      </c>
    </row>
    <row r="12" customFormat="false" ht="15" hidden="false" customHeight="false" outlineLevel="0" collapsed="false">
      <c r="A12" s="7" t="s">
        <v>205</v>
      </c>
      <c r="B12" s="7" t="s">
        <v>206</v>
      </c>
      <c r="C12" s="7" t="s">
        <v>202</v>
      </c>
      <c r="D12" s="7" t="s">
        <v>207</v>
      </c>
      <c r="E12" s="8" t="s">
        <v>203</v>
      </c>
      <c r="F12" s="9" t="s">
        <v>203</v>
      </c>
      <c r="G12" s="10" t="s">
        <v>203</v>
      </c>
      <c r="H12" s="7"/>
    </row>
    <row r="13" customFormat="false" ht="15" hidden="false" customHeight="false" outlineLevel="0" collapsed="false">
      <c r="A13" s="7" t="s">
        <v>208</v>
      </c>
      <c r="B13" s="7" t="s">
        <v>209</v>
      </c>
      <c r="C13" s="7" t="s">
        <v>210</v>
      </c>
      <c r="D13" s="7" t="s">
        <v>187</v>
      </c>
      <c r="E13" s="8" t="s">
        <v>203</v>
      </c>
      <c r="F13" s="9" t="s">
        <v>203</v>
      </c>
      <c r="G13" s="10" t="s">
        <v>203</v>
      </c>
      <c r="H13" s="7" t="s">
        <v>211</v>
      </c>
    </row>
    <row r="14" customFormat="false" ht="15" hidden="false" customHeight="false" outlineLevel="0" collapsed="false">
      <c r="A14" s="7" t="s">
        <v>212</v>
      </c>
      <c r="B14" s="7" t="s">
        <v>213</v>
      </c>
      <c r="C14" s="7" t="s">
        <v>186</v>
      </c>
      <c r="D14" s="7" t="s">
        <v>214</v>
      </c>
      <c r="E14" s="8" t="s">
        <v>203</v>
      </c>
      <c r="F14" s="9" t="s">
        <v>203</v>
      </c>
      <c r="G14" s="10" t="s">
        <v>203</v>
      </c>
      <c r="H14" s="7"/>
    </row>
    <row r="15" customFormat="false" ht="15" hidden="false" customHeight="false" outlineLevel="0" collapsed="false">
      <c r="A15" s="7" t="s">
        <v>215</v>
      </c>
      <c r="B15" s="7" t="s">
        <v>216</v>
      </c>
      <c r="C15" s="7" t="s">
        <v>186</v>
      </c>
      <c r="D15" s="7" t="s">
        <v>214</v>
      </c>
      <c r="E15" s="8" t="s">
        <v>203</v>
      </c>
      <c r="F15" s="9" t="s">
        <v>203</v>
      </c>
      <c r="G15" s="10" t="s">
        <v>203</v>
      </c>
      <c r="H15" s="7"/>
    </row>
    <row r="16" customFormat="false" ht="15" hidden="false" customHeight="false" outlineLevel="0" collapsed="false">
      <c r="A16" s="7" t="s">
        <v>217</v>
      </c>
      <c r="B16" s="7" t="s">
        <v>218</v>
      </c>
      <c r="C16" s="7" t="s">
        <v>186</v>
      </c>
      <c r="D16" s="7" t="s">
        <v>214</v>
      </c>
      <c r="E16" s="8" t="s">
        <v>203</v>
      </c>
      <c r="F16" s="9" t="s">
        <v>203</v>
      </c>
      <c r="G16" s="10" t="s">
        <v>203</v>
      </c>
      <c r="H16" s="7"/>
    </row>
    <row r="17" customFormat="false" ht="15" hidden="false" customHeight="false" outlineLevel="0" collapsed="false">
      <c r="A17" s="7" t="s">
        <v>219</v>
      </c>
      <c r="B17" s="7" t="s">
        <v>220</v>
      </c>
      <c r="C17" s="7" t="s">
        <v>186</v>
      </c>
      <c r="D17" s="7" t="s">
        <v>214</v>
      </c>
      <c r="E17" s="8" t="s">
        <v>203</v>
      </c>
      <c r="F17" s="9" t="s">
        <v>203</v>
      </c>
      <c r="G17" s="10" t="s">
        <v>203</v>
      </c>
      <c r="H17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222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223</v>
      </c>
      <c r="B4" s="6" t="s">
        <v>36</v>
      </c>
      <c r="C4" s="6" t="s">
        <v>224</v>
      </c>
      <c r="D4" s="6" t="s">
        <v>225</v>
      </c>
      <c r="E4" s="6" t="s">
        <v>70</v>
      </c>
      <c r="F4" s="6" t="s">
        <v>226</v>
      </c>
      <c r="G4" s="6" t="s">
        <v>227</v>
      </c>
      <c r="H4" s="6" t="s">
        <v>228</v>
      </c>
    </row>
    <row r="5" customFormat="false" ht="23.85" hidden="false" customHeight="false" outlineLevel="0" collapsed="false">
      <c r="A5" s="7" t="s">
        <v>229</v>
      </c>
      <c r="B5" s="7" t="s">
        <v>230</v>
      </c>
      <c r="C5" s="7" t="s">
        <v>231</v>
      </c>
      <c r="D5" s="7" t="s">
        <v>232</v>
      </c>
      <c r="E5" s="7" t="n">
        <v>2025</v>
      </c>
      <c r="F5" s="8" t="n">
        <v>270</v>
      </c>
      <c r="G5" s="9" t="n">
        <v>900</v>
      </c>
      <c r="H5" s="10" t="n">
        <v>2250</v>
      </c>
    </row>
    <row r="6" customFormat="false" ht="23.85" hidden="false" customHeight="false" outlineLevel="0" collapsed="false">
      <c r="A6" s="7" t="s">
        <v>229</v>
      </c>
      <c r="B6" s="7" t="s">
        <v>230</v>
      </c>
      <c r="C6" s="7" t="s">
        <v>231</v>
      </c>
      <c r="D6" s="7" t="s">
        <v>232</v>
      </c>
      <c r="E6" s="7" t="n">
        <v>2026</v>
      </c>
      <c r="F6" s="8" t="n">
        <v>267</v>
      </c>
      <c r="G6" s="9" t="n">
        <v>891</v>
      </c>
      <c r="H6" s="10" t="n">
        <v>2228</v>
      </c>
    </row>
    <row r="7" customFormat="false" ht="23.85" hidden="false" customHeight="false" outlineLevel="0" collapsed="false">
      <c r="A7" s="7" t="s">
        <v>229</v>
      </c>
      <c r="B7" s="7" t="s">
        <v>230</v>
      </c>
      <c r="C7" s="7" t="s">
        <v>231</v>
      </c>
      <c r="D7" s="7" t="s">
        <v>232</v>
      </c>
      <c r="E7" s="7" t="n">
        <v>2027</v>
      </c>
      <c r="F7" s="8" t="n">
        <v>265</v>
      </c>
      <c r="G7" s="9" t="n">
        <v>882</v>
      </c>
      <c r="H7" s="10" t="n">
        <v>2205</v>
      </c>
    </row>
    <row r="8" customFormat="false" ht="23.85" hidden="false" customHeight="false" outlineLevel="0" collapsed="false">
      <c r="A8" s="7" t="s">
        <v>229</v>
      </c>
      <c r="B8" s="7" t="s">
        <v>230</v>
      </c>
      <c r="C8" s="7" t="s">
        <v>231</v>
      </c>
      <c r="D8" s="7" t="s">
        <v>232</v>
      </c>
      <c r="E8" s="7" t="n">
        <v>2028</v>
      </c>
      <c r="F8" s="8" t="n">
        <v>262</v>
      </c>
      <c r="G8" s="9" t="n">
        <v>873</v>
      </c>
      <c r="H8" s="10" t="n">
        <v>2182</v>
      </c>
    </row>
    <row r="9" customFormat="false" ht="23.85" hidden="false" customHeight="false" outlineLevel="0" collapsed="false">
      <c r="A9" s="7" t="s">
        <v>229</v>
      </c>
      <c r="B9" s="7" t="s">
        <v>230</v>
      </c>
      <c r="C9" s="7" t="s">
        <v>231</v>
      </c>
      <c r="D9" s="7" t="s">
        <v>232</v>
      </c>
      <c r="E9" s="7" t="n">
        <v>2029</v>
      </c>
      <c r="F9" s="8" t="n">
        <v>259</v>
      </c>
      <c r="G9" s="9" t="n">
        <v>864</v>
      </c>
      <c r="H9" s="10" t="n">
        <v>2160</v>
      </c>
    </row>
    <row r="10" customFormat="false" ht="23.85" hidden="false" customHeight="false" outlineLevel="0" collapsed="false">
      <c r="A10" s="7" t="s">
        <v>229</v>
      </c>
      <c r="B10" s="7" t="s">
        <v>230</v>
      </c>
      <c r="C10" s="7" t="s">
        <v>231</v>
      </c>
      <c r="D10" s="7" t="s">
        <v>232</v>
      </c>
      <c r="E10" s="7" t="n">
        <v>2030</v>
      </c>
      <c r="F10" s="8" t="n">
        <v>256</v>
      </c>
      <c r="G10" s="9" t="n">
        <v>855</v>
      </c>
      <c r="H10" s="10" t="n">
        <v>2138</v>
      </c>
    </row>
    <row r="11" customFormat="false" ht="23.85" hidden="false" customHeight="false" outlineLevel="0" collapsed="false">
      <c r="A11" s="7" t="s">
        <v>229</v>
      </c>
      <c r="B11" s="7" t="s">
        <v>230</v>
      </c>
      <c r="C11" s="7" t="s">
        <v>231</v>
      </c>
      <c r="D11" s="7" t="s">
        <v>233</v>
      </c>
      <c r="E11" s="7" t="n">
        <v>2025</v>
      </c>
      <c r="F11" s="8" t="n">
        <v>270</v>
      </c>
      <c r="G11" s="9" t="n">
        <v>900</v>
      </c>
      <c r="H11" s="10" t="n">
        <v>2250</v>
      </c>
    </row>
    <row r="12" customFormat="false" ht="23.85" hidden="false" customHeight="false" outlineLevel="0" collapsed="false">
      <c r="A12" s="7" t="s">
        <v>229</v>
      </c>
      <c r="B12" s="7" t="s">
        <v>230</v>
      </c>
      <c r="C12" s="7" t="s">
        <v>231</v>
      </c>
      <c r="D12" s="7" t="s">
        <v>233</v>
      </c>
      <c r="E12" s="7" t="n">
        <v>2026</v>
      </c>
      <c r="F12" s="8" t="n">
        <v>254</v>
      </c>
      <c r="G12" s="9" t="n">
        <v>846</v>
      </c>
      <c r="H12" s="10" t="n">
        <v>2115</v>
      </c>
    </row>
    <row r="13" customFormat="false" ht="23.85" hidden="false" customHeight="false" outlineLevel="0" collapsed="false">
      <c r="A13" s="7" t="s">
        <v>229</v>
      </c>
      <c r="B13" s="7" t="s">
        <v>230</v>
      </c>
      <c r="C13" s="7" t="s">
        <v>231</v>
      </c>
      <c r="D13" s="7" t="s">
        <v>233</v>
      </c>
      <c r="E13" s="7" t="n">
        <v>2027</v>
      </c>
      <c r="F13" s="8" t="n">
        <v>232</v>
      </c>
      <c r="G13" s="9" t="n">
        <v>774</v>
      </c>
      <c r="H13" s="10" t="n">
        <v>1935</v>
      </c>
    </row>
    <row r="14" customFormat="false" ht="23.85" hidden="false" customHeight="false" outlineLevel="0" collapsed="false">
      <c r="A14" s="7" t="s">
        <v>229</v>
      </c>
      <c r="B14" s="7" t="s">
        <v>230</v>
      </c>
      <c r="C14" s="7" t="s">
        <v>231</v>
      </c>
      <c r="D14" s="7" t="s">
        <v>233</v>
      </c>
      <c r="E14" s="7" t="n">
        <v>2028</v>
      </c>
      <c r="F14" s="8" t="n">
        <v>208</v>
      </c>
      <c r="G14" s="9" t="n">
        <v>693</v>
      </c>
      <c r="H14" s="10" t="n">
        <v>1732</v>
      </c>
    </row>
    <row r="15" customFormat="false" ht="23.85" hidden="false" customHeight="false" outlineLevel="0" collapsed="false">
      <c r="A15" s="7" t="s">
        <v>229</v>
      </c>
      <c r="B15" s="7" t="s">
        <v>230</v>
      </c>
      <c r="C15" s="7" t="s">
        <v>231</v>
      </c>
      <c r="D15" s="7" t="s">
        <v>233</v>
      </c>
      <c r="E15" s="7" t="n">
        <v>2029</v>
      </c>
      <c r="F15" s="8" t="n">
        <v>184</v>
      </c>
      <c r="G15" s="9" t="n">
        <v>612</v>
      </c>
      <c r="H15" s="10" t="n">
        <v>1530</v>
      </c>
    </row>
    <row r="16" customFormat="false" ht="23.85" hidden="false" customHeight="false" outlineLevel="0" collapsed="false">
      <c r="A16" s="7" t="s">
        <v>229</v>
      </c>
      <c r="B16" s="7" t="s">
        <v>230</v>
      </c>
      <c r="C16" s="7" t="s">
        <v>231</v>
      </c>
      <c r="D16" s="7" t="s">
        <v>233</v>
      </c>
      <c r="E16" s="7" t="n">
        <v>2030</v>
      </c>
      <c r="F16" s="8" t="n">
        <v>157</v>
      </c>
      <c r="G16" s="9" t="n">
        <v>522</v>
      </c>
      <c r="H16" s="10" t="n">
        <v>1305</v>
      </c>
    </row>
    <row r="17" customFormat="false" ht="23.85" hidden="false" customHeight="false" outlineLevel="0" collapsed="false">
      <c r="A17" s="7" t="s">
        <v>229</v>
      </c>
      <c r="B17" s="7" t="s">
        <v>230</v>
      </c>
      <c r="C17" s="7" t="s">
        <v>231</v>
      </c>
      <c r="D17" s="7" t="s">
        <v>234</v>
      </c>
      <c r="E17" s="7" t="n">
        <v>2025</v>
      </c>
      <c r="F17" s="8" t="n">
        <v>270</v>
      </c>
      <c r="G17" s="9" t="n">
        <v>900</v>
      </c>
      <c r="H17" s="10" t="n">
        <v>2250</v>
      </c>
    </row>
    <row r="18" customFormat="false" ht="23.85" hidden="false" customHeight="false" outlineLevel="0" collapsed="false">
      <c r="A18" s="7" t="s">
        <v>229</v>
      </c>
      <c r="B18" s="7" t="s">
        <v>230</v>
      </c>
      <c r="C18" s="7" t="s">
        <v>231</v>
      </c>
      <c r="D18" s="7" t="s">
        <v>234</v>
      </c>
      <c r="E18" s="7" t="n">
        <v>2026</v>
      </c>
      <c r="F18" s="8" t="n">
        <v>230</v>
      </c>
      <c r="G18" s="9" t="n">
        <v>765</v>
      </c>
      <c r="H18" s="10" t="n">
        <v>1912</v>
      </c>
    </row>
    <row r="19" customFormat="false" ht="23.85" hidden="false" customHeight="false" outlineLevel="0" collapsed="false">
      <c r="A19" s="7" t="s">
        <v>229</v>
      </c>
      <c r="B19" s="7" t="s">
        <v>230</v>
      </c>
      <c r="C19" s="7" t="s">
        <v>231</v>
      </c>
      <c r="D19" s="7" t="s">
        <v>234</v>
      </c>
      <c r="E19" s="7" t="n">
        <v>2027</v>
      </c>
      <c r="F19" s="8" t="n">
        <v>184</v>
      </c>
      <c r="G19" s="9" t="n">
        <v>612</v>
      </c>
      <c r="H19" s="10" t="n">
        <v>1530</v>
      </c>
    </row>
    <row r="20" customFormat="false" ht="23.85" hidden="false" customHeight="false" outlineLevel="0" collapsed="false">
      <c r="A20" s="7" t="s">
        <v>229</v>
      </c>
      <c r="B20" s="7" t="s">
        <v>230</v>
      </c>
      <c r="C20" s="7" t="s">
        <v>231</v>
      </c>
      <c r="D20" s="7" t="s">
        <v>234</v>
      </c>
      <c r="E20" s="7" t="n">
        <v>2028</v>
      </c>
      <c r="F20" s="8" t="n">
        <v>138</v>
      </c>
      <c r="G20" s="9" t="n">
        <v>459</v>
      </c>
      <c r="H20" s="10" t="n">
        <v>1148</v>
      </c>
    </row>
    <row r="21" customFormat="false" ht="23.85" hidden="false" customHeight="false" outlineLevel="0" collapsed="false">
      <c r="A21" s="7" t="s">
        <v>229</v>
      </c>
      <c r="B21" s="7" t="s">
        <v>230</v>
      </c>
      <c r="C21" s="7" t="s">
        <v>231</v>
      </c>
      <c r="D21" s="7" t="s">
        <v>234</v>
      </c>
      <c r="E21" s="7" t="n">
        <v>2029</v>
      </c>
      <c r="F21" s="8" t="n">
        <v>97</v>
      </c>
      <c r="G21" s="9" t="n">
        <v>324</v>
      </c>
      <c r="H21" s="10" t="n">
        <v>810</v>
      </c>
    </row>
    <row r="22" customFormat="false" ht="23.85" hidden="false" customHeight="false" outlineLevel="0" collapsed="false">
      <c r="A22" s="7" t="s">
        <v>229</v>
      </c>
      <c r="B22" s="7" t="s">
        <v>230</v>
      </c>
      <c r="C22" s="7" t="s">
        <v>231</v>
      </c>
      <c r="D22" s="7" t="s">
        <v>234</v>
      </c>
      <c r="E22" s="7" t="n">
        <v>2030</v>
      </c>
      <c r="F22" s="8" t="n">
        <v>62</v>
      </c>
      <c r="G22" s="9" t="n">
        <v>207</v>
      </c>
      <c r="H22" s="10" t="n">
        <v>518</v>
      </c>
    </row>
    <row r="23" customFormat="false" ht="23.85" hidden="false" customHeight="false" outlineLevel="0" collapsed="false">
      <c r="A23" s="7" t="s">
        <v>235</v>
      </c>
      <c r="B23" s="7" t="s">
        <v>236</v>
      </c>
      <c r="C23" s="7" t="s">
        <v>237</v>
      </c>
      <c r="D23" s="7" t="s">
        <v>232</v>
      </c>
      <c r="E23" s="7" t="n">
        <v>2025</v>
      </c>
      <c r="F23" s="8" t="n">
        <v>420</v>
      </c>
      <c r="G23" s="9" t="n">
        <v>1400</v>
      </c>
      <c r="H23" s="10" t="n">
        <v>3500</v>
      </c>
    </row>
    <row r="24" customFormat="false" ht="23.85" hidden="false" customHeight="false" outlineLevel="0" collapsed="false">
      <c r="A24" s="7" t="s">
        <v>235</v>
      </c>
      <c r="B24" s="7" t="s">
        <v>236</v>
      </c>
      <c r="C24" s="7" t="s">
        <v>237</v>
      </c>
      <c r="D24" s="7" t="s">
        <v>232</v>
      </c>
      <c r="E24" s="7" t="n">
        <v>2026</v>
      </c>
      <c r="F24" s="8" t="n">
        <v>416</v>
      </c>
      <c r="G24" s="9" t="n">
        <v>1386</v>
      </c>
      <c r="H24" s="10" t="n">
        <v>3465</v>
      </c>
    </row>
    <row r="25" customFormat="false" ht="23.85" hidden="false" customHeight="false" outlineLevel="0" collapsed="false">
      <c r="A25" s="7" t="s">
        <v>235</v>
      </c>
      <c r="B25" s="7" t="s">
        <v>236</v>
      </c>
      <c r="C25" s="7" t="s">
        <v>237</v>
      </c>
      <c r="D25" s="7" t="s">
        <v>232</v>
      </c>
      <c r="E25" s="7" t="n">
        <v>2027</v>
      </c>
      <c r="F25" s="8" t="n">
        <v>412</v>
      </c>
      <c r="G25" s="9" t="n">
        <v>1372</v>
      </c>
      <c r="H25" s="10" t="n">
        <v>3430</v>
      </c>
    </row>
    <row r="26" customFormat="false" ht="23.85" hidden="false" customHeight="false" outlineLevel="0" collapsed="false">
      <c r="A26" s="7" t="s">
        <v>235</v>
      </c>
      <c r="B26" s="7" t="s">
        <v>236</v>
      </c>
      <c r="C26" s="7" t="s">
        <v>237</v>
      </c>
      <c r="D26" s="7" t="s">
        <v>232</v>
      </c>
      <c r="E26" s="7" t="n">
        <v>2028</v>
      </c>
      <c r="F26" s="8" t="n">
        <v>407</v>
      </c>
      <c r="G26" s="9" t="n">
        <v>1358</v>
      </c>
      <c r="H26" s="10" t="n">
        <v>3395</v>
      </c>
    </row>
    <row r="27" customFormat="false" ht="23.85" hidden="false" customHeight="false" outlineLevel="0" collapsed="false">
      <c r="A27" s="7" t="s">
        <v>235</v>
      </c>
      <c r="B27" s="7" t="s">
        <v>236</v>
      </c>
      <c r="C27" s="7" t="s">
        <v>237</v>
      </c>
      <c r="D27" s="7" t="s">
        <v>232</v>
      </c>
      <c r="E27" s="7" t="n">
        <v>2029</v>
      </c>
      <c r="F27" s="8" t="n">
        <v>403</v>
      </c>
      <c r="G27" s="9" t="n">
        <v>1344</v>
      </c>
      <c r="H27" s="10" t="n">
        <v>3360</v>
      </c>
    </row>
    <row r="28" customFormat="false" ht="23.85" hidden="false" customHeight="false" outlineLevel="0" collapsed="false">
      <c r="A28" s="7" t="s">
        <v>235</v>
      </c>
      <c r="B28" s="7" t="s">
        <v>236</v>
      </c>
      <c r="C28" s="7" t="s">
        <v>237</v>
      </c>
      <c r="D28" s="7" t="s">
        <v>232</v>
      </c>
      <c r="E28" s="7" t="n">
        <v>2030</v>
      </c>
      <c r="F28" s="8" t="n">
        <v>399</v>
      </c>
      <c r="G28" s="9" t="n">
        <v>1330</v>
      </c>
      <c r="H28" s="10" t="n">
        <v>3325</v>
      </c>
    </row>
    <row r="29" customFormat="false" ht="23.85" hidden="false" customHeight="false" outlineLevel="0" collapsed="false">
      <c r="A29" s="7" t="s">
        <v>235</v>
      </c>
      <c r="B29" s="7" t="s">
        <v>236</v>
      </c>
      <c r="C29" s="7" t="s">
        <v>237</v>
      </c>
      <c r="D29" s="7" t="s">
        <v>233</v>
      </c>
      <c r="E29" s="7" t="n">
        <v>2025</v>
      </c>
      <c r="F29" s="8" t="n">
        <v>420</v>
      </c>
      <c r="G29" s="9" t="n">
        <v>1400</v>
      </c>
      <c r="H29" s="10" t="n">
        <v>3500</v>
      </c>
    </row>
    <row r="30" customFormat="false" ht="23.85" hidden="false" customHeight="false" outlineLevel="0" collapsed="false">
      <c r="A30" s="7" t="s">
        <v>235</v>
      </c>
      <c r="B30" s="7" t="s">
        <v>236</v>
      </c>
      <c r="C30" s="7" t="s">
        <v>237</v>
      </c>
      <c r="D30" s="7" t="s">
        <v>233</v>
      </c>
      <c r="E30" s="7" t="n">
        <v>2026</v>
      </c>
      <c r="F30" s="8" t="n">
        <v>395</v>
      </c>
      <c r="G30" s="9" t="n">
        <v>1316</v>
      </c>
      <c r="H30" s="10" t="n">
        <v>3290</v>
      </c>
    </row>
    <row r="31" customFormat="false" ht="23.85" hidden="false" customHeight="false" outlineLevel="0" collapsed="false">
      <c r="A31" s="7" t="s">
        <v>235</v>
      </c>
      <c r="B31" s="7" t="s">
        <v>236</v>
      </c>
      <c r="C31" s="7" t="s">
        <v>237</v>
      </c>
      <c r="D31" s="7" t="s">
        <v>233</v>
      </c>
      <c r="E31" s="7" t="n">
        <v>2027</v>
      </c>
      <c r="F31" s="8" t="n">
        <v>361</v>
      </c>
      <c r="G31" s="9" t="n">
        <v>1204</v>
      </c>
      <c r="H31" s="10" t="n">
        <v>3010</v>
      </c>
    </row>
    <row r="32" customFormat="false" ht="23.85" hidden="false" customHeight="false" outlineLevel="0" collapsed="false">
      <c r="A32" s="7" t="s">
        <v>235</v>
      </c>
      <c r="B32" s="7" t="s">
        <v>236</v>
      </c>
      <c r="C32" s="7" t="s">
        <v>237</v>
      </c>
      <c r="D32" s="7" t="s">
        <v>233</v>
      </c>
      <c r="E32" s="7" t="n">
        <v>2028</v>
      </c>
      <c r="F32" s="8" t="n">
        <v>323</v>
      </c>
      <c r="G32" s="9" t="n">
        <v>1078</v>
      </c>
      <c r="H32" s="10" t="n">
        <v>2695</v>
      </c>
    </row>
    <row r="33" customFormat="false" ht="23.85" hidden="false" customHeight="false" outlineLevel="0" collapsed="false">
      <c r="A33" s="7" t="s">
        <v>235</v>
      </c>
      <c r="B33" s="7" t="s">
        <v>236</v>
      </c>
      <c r="C33" s="7" t="s">
        <v>237</v>
      </c>
      <c r="D33" s="7" t="s">
        <v>233</v>
      </c>
      <c r="E33" s="7" t="n">
        <v>2029</v>
      </c>
      <c r="F33" s="8" t="n">
        <v>286</v>
      </c>
      <c r="G33" s="9" t="n">
        <v>952</v>
      </c>
      <c r="H33" s="10" t="n">
        <v>2380</v>
      </c>
    </row>
    <row r="34" customFormat="false" ht="23.85" hidden="false" customHeight="false" outlineLevel="0" collapsed="false">
      <c r="A34" s="7" t="s">
        <v>235</v>
      </c>
      <c r="B34" s="7" t="s">
        <v>236</v>
      </c>
      <c r="C34" s="7" t="s">
        <v>237</v>
      </c>
      <c r="D34" s="7" t="s">
        <v>233</v>
      </c>
      <c r="E34" s="7" t="n">
        <v>2030</v>
      </c>
      <c r="F34" s="8" t="n">
        <v>244</v>
      </c>
      <c r="G34" s="9" t="n">
        <v>812</v>
      </c>
      <c r="H34" s="10" t="n">
        <v>2030</v>
      </c>
    </row>
    <row r="35" customFormat="false" ht="23.85" hidden="false" customHeight="false" outlineLevel="0" collapsed="false">
      <c r="A35" s="7" t="s">
        <v>235</v>
      </c>
      <c r="B35" s="7" t="s">
        <v>236</v>
      </c>
      <c r="C35" s="7" t="s">
        <v>237</v>
      </c>
      <c r="D35" s="7" t="s">
        <v>234</v>
      </c>
      <c r="E35" s="7" t="n">
        <v>2025</v>
      </c>
      <c r="F35" s="8" t="n">
        <v>420</v>
      </c>
      <c r="G35" s="9" t="n">
        <v>1400</v>
      </c>
      <c r="H35" s="10" t="n">
        <v>3500</v>
      </c>
    </row>
    <row r="36" customFormat="false" ht="23.85" hidden="false" customHeight="false" outlineLevel="0" collapsed="false">
      <c r="A36" s="7" t="s">
        <v>235</v>
      </c>
      <c r="B36" s="7" t="s">
        <v>236</v>
      </c>
      <c r="C36" s="7" t="s">
        <v>237</v>
      </c>
      <c r="D36" s="7" t="s">
        <v>234</v>
      </c>
      <c r="E36" s="7" t="n">
        <v>2026</v>
      </c>
      <c r="F36" s="8" t="n">
        <v>357</v>
      </c>
      <c r="G36" s="9" t="n">
        <v>1190</v>
      </c>
      <c r="H36" s="10" t="n">
        <v>2975</v>
      </c>
    </row>
    <row r="37" customFormat="false" ht="23.85" hidden="false" customHeight="false" outlineLevel="0" collapsed="false">
      <c r="A37" s="7" t="s">
        <v>235</v>
      </c>
      <c r="B37" s="7" t="s">
        <v>236</v>
      </c>
      <c r="C37" s="7" t="s">
        <v>237</v>
      </c>
      <c r="D37" s="7" t="s">
        <v>234</v>
      </c>
      <c r="E37" s="7" t="n">
        <v>2027</v>
      </c>
      <c r="F37" s="8" t="n">
        <v>286</v>
      </c>
      <c r="G37" s="9" t="n">
        <v>952</v>
      </c>
      <c r="H37" s="10" t="n">
        <v>2380</v>
      </c>
    </row>
    <row r="38" customFormat="false" ht="23.85" hidden="false" customHeight="false" outlineLevel="0" collapsed="false">
      <c r="A38" s="7" t="s">
        <v>235</v>
      </c>
      <c r="B38" s="7" t="s">
        <v>236</v>
      </c>
      <c r="C38" s="7" t="s">
        <v>237</v>
      </c>
      <c r="D38" s="7" t="s">
        <v>234</v>
      </c>
      <c r="E38" s="7" t="n">
        <v>2028</v>
      </c>
      <c r="F38" s="8" t="n">
        <v>214</v>
      </c>
      <c r="G38" s="9" t="n">
        <v>714</v>
      </c>
      <c r="H38" s="10" t="n">
        <v>1785</v>
      </c>
    </row>
    <row r="39" customFormat="false" ht="23.85" hidden="false" customHeight="false" outlineLevel="0" collapsed="false">
      <c r="A39" s="7" t="s">
        <v>235</v>
      </c>
      <c r="B39" s="7" t="s">
        <v>236</v>
      </c>
      <c r="C39" s="7" t="s">
        <v>237</v>
      </c>
      <c r="D39" s="7" t="s">
        <v>234</v>
      </c>
      <c r="E39" s="7" t="n">
        <v>2029</v>
      </c>
      <c r="F39" s="8" t="n">
        <v>151</v>
      </c>
      <c r="G39" s="9" t="n">
        <v>504</v>
      </c>
      <c r="H39" s="10" t="n">
        <v>1260</v>
      </c>
    </row>
    <row r="40" customFormat="false" ht="23.85" hidden="false" customHeight="false" outlineLevel="0" collapsed="false">
      <c r="A40" s="7" t="s">
        <v>235</v>
      </c>
      <c r="B40" s="7" t="s">
        <v>236</v>
      </c>
      <c r="C40" s="7" t="s">
        <v>237</v>
      </c>
      <c r="D40" s="7" t="s">
        <v>234</v>
      </c>
      <c r="E40" s="7" t="n">
        <v>2030</v>
      </c>
      <c r="F40" s="8" t="n">
        <v>97</v>
      </c>
      <c r="G40" s="9" t="n">
        <v>322</v>
      </c>
      <c r="H40" s="10" t="n">
        <v>805</v>
      </c>
    </row>
    <row r="41" customFormat="false" ht="15" hidden="false" customHeight="false" outlineLevel="0" collapsed="false">
      <c r="A41" s="7" t="s">
        <v>238</v>
      </c>
      <c r="B41" s="7" t="s">
        <v>239</v>
      </c>
      <c r="C41" s="7" t="s">
        <v>240</v>
      </c>
      <c r="D41" s="7" t="s">
        <v>232</v>
      </c>
      <c r="E41" s="7" t="n">
        <v>2025</v>
      </c>
      <c r="F41" s="8" t="n">
        <v>660</v>
      </c>
      <c r="G41" s="9" t="n">
        <v>2200</v>
      </c>
      <c r="H41" s="10" t="n">
        <v>5500</v>
      </c>
    </row>
    <row r="42" customFormat="false" ht="15" hidden="false" customHeight="false" outlineLevel="0" collapsed="false">
      <c r="A42" s="7" t="s">
        <v>238</v>
      </c>
      <c r="B42" s="7" t="s">
        <v>239</v>
      </c>
      <c r="C42" s="7" t="s">
        <v>240</v>
      </c>
      <c r="D42" s="7" t="s">
        <v>232</v>
      </c>
      <c r="E42" s="7" t="n">
        <v>2026</v>
      </c>
      <c r="F42" s="8" t="n">
        <v>653</v>
      </c>
      <c r="G42" s="9" t="n">
        <v>2178</v>
      </c>
      <c r="H42" s="10" t="n">
        <v>5445</v>
      </c>
    </row>
    <row r="43" customFormat="false" ht="15" hidden="false" customHeight="false" outlineLevel="0" collapsed="false">
      <c r="A43" s="7" t="s">
        <v>238</v>
      </c>
      <c r="B43" s="7" t="s">
        <v>239</v>
      </c>
      <c r="C43" s="7" t="s">
        <v>240</v>
      </c>
      <c r="D43" s="7" t="s">
        <v>232</v>
      </c>
      <c r="E43" s="7" t="n">
        <v>2027</v>
      </c>
      <c r="F43" s="8" t="n">
        <v>647</v>
      </c>
      <c r="G43" s="9" t="n">
        <v>2156</v>
      </c>
      <c r="H43" s="10" t="n">
        <v>5390</v>
      </c>
    </row>
    <row r="44" customFormat="false" ht="15" hidden="false" customHeight="false" outlineLevel="0" collapsed="false">
      <c r="A44" s="7" t="s">
        <v>238</v>
      </c>
      <c r="B44" s="7" t="s">
        <v>239</v>
      </c>
      <c r="C44" s="7" t="s">
        <v>240</v>
      </c>
      <c r="D44" s="7" t="s">
        <v>232</v>
      </c>
      <c r="E44" s="7" t="n">
        <v>2028</v>
      </c>
      <c r="F44" s="8" t="n">
        <v>640</v>
      </c>
      <c r="G44" s="9" t="n">
        <v>2134</v>
      </c>
      <c r="H44" s="10" t="n">
        <v>5335</v>
      </c>
    </row>
    <row r="45" customFormat="false" ht="15" hidden="false" customHeight="false" outlineLevel="0" collapsed="false">
      <c r="A45" s="7" t="s">
        <v>238</v>
      </c>
      <c r="B45" s="7" t="s">
        <v>239</v>
      </c>
      <c r="C45" s="7" t="s">
        <v>240</v>
      </c>
      <c r="D45" s="7" t="s">
        <v>232</v>
      </c>
      <c r="E45" s="7" t="n">
        <v>2029</v>
      </c>
      <c r="F45" s="8" t="n">
        <v>634</v>
      </c>
      <c r="G45" s="9" t="n">
        <v>2112</v>
      </c>
      <c r="H45" s="10" t="n">
        <v>5280</v>
      </c>
    </row>
    <row r="46" customFormat="false" ht="15" hidden="false" customHeight="false" outlineLevel="0" collapsed="false">
      <c r="A46" s="7" t="s">
        <v>238</v>
      </c>
      <c r="B46" s="7" t="s">
        <v>239</v>
      </c>
      <c r="C46" s="7" t="s">
        <v>240</v>
      </c>
      <c r="D46" s="7" t="s">
        <v>232</v>
      </c>
      <c r="E46" s="7" t="n">
        <v>2030</v>
      </c>
      <c r="F46" s="8" t="n">
        <v>627</v>
      </c>
      <c r="G46" s="9" t="n">
        <v>2090</v>
      </c>
      <c r="H46" s="10" t="n">
        <v>5225</v>
      </c>
    </row>
    <row r="47" customFormat="false" ht="15" hidden="false" customHeight="false" outlineLevel="0" collapsed="false">
      <c r="A47" s="7" t="s">
        <v>238</v>
      </c>
      <c r="B47" s="7" t="s">
        <v>239</v>
      </c>
      <c r="C47" s="7" t="s">
        <v>240</v>
      </c>
      <c r="D47" s="7" t="s">
        <v>233</v>
      </c>
      <c r="E47" s="7" t="n">
        <v>2025</v>
      </c>
      <c r="F47" s="8" t="n">
        <v>660</v>
      </c>
      <c r="G47" s="9" t="n">
        <v>2200</v>
      </c>
      <c r="H47" s="10" t="n">
        <v>5500</v>
      </c>
    </row>
    <row r="48" customFormat="false" ht="15" hidden="false" customHeight="false" outlineLevel="0" collapsed="false">
      <c r="A48" s="7" t="s">
        <v>238</v>
      </c>
      <c r="B48" s="7" t="s">
        <v>239</v>
      </c>
      <c r="C48" s="7" t="s">
        <v>240</v>
      </c>
      <c r="D48" s="7" t="s">
        <v>233</v>
      </c>
      <c r="E48" s="7" t="n">
        <v>2026</v>
      </c>
      <c r="F48" s="8" t="n">
        <v>620</v>
      </c>
      <c r="G48" s="9" t="n">
        <v>2068</v>
      </c>
      <c r="H48" s="10" t="n">
        <v>5170</v>
      </c>
    </row>
    <row r="49" customFormat="false" ht="15" hidden="false" customHeight="false" outlineLevel="0" collapsed="false">
      <c r="A49" s="7" t="s">
        <v>238</v>
      </c>
      <c r="B49" s="7" t="s">
        <v>239</v>
      </c>
      <c r="C49" s="7" t="s">
        <v>240</v>
      </c>
      <c r="D49" s="7" t="s">
        <v>233</v>
      </c>
      <c r="E49" s="7" t="n">
        <v>2027</v>
      </c>
      <c r="F49" s="8" t="n">
        <v>568</v>
      </c>
      <c r="G49" s="9" t="n">
        <v>1892</v>
      </c>
      <c r="H49" s="10" t="n">
        <v>4730</v>
      </c>
    </row>
    <row r="50" customFormat="false" ht="15" hidden="false" customHeight="false" outlineLevel="0" collapsed="false">
      <c r="A50" s="7" t="s">
        <v>238</v>
      </c>
      <c r="B50" s="7" t="s">
        <v>239</v>
      </c>
      <c r="C50" s="7" t="s">
        <v>240</v>
      </c>
      <c r="D50" s="7" t="s">
        <v>233</v>
      </c>
      <c r="E50" s="7" t="n">
        <v>2028</v>
      </c>
      <c r="F50" s="8" t="n">
        <v>508</v>
      </c>
      <c r="G50" s="9" t="n">
        <v>1694</v>
      </c>
      <c r="H50" s="10" t="n">
        <v>4235</v>
      </c>
    </row>
    <row r="51" customFormat="false" ht="15" hidden="false" customHeight="false" outlineLevel="0" collapsed="false">
      <c r="A51" s="7" t="s">
        <v>238</v>
      </c>
      <c r="B51" s="7" t="s">
        <v>239</v>
      </c>
      <c r="C51" s="7" t="s">
        <v>240</v>
      </c>
      <c r="D51" s="7" t="s">
        <v>233</v>
      </c>
      <c r="E51" s="7" t="n">
        <v>2029</v>
      </c>
      <c r="F51" s="8" t="n">
        <v>449</v>
      </c>
      <c r="G51" s="9" t="n">
        <v>1496</v>
      </c>
      <c r="H51" s="10" t="n">
        <v>3740</v>
      </c>
    </row>
    <row r="52" customFormat="false" ht="15" hidden="false" customHeight="false" outlineLevel="0" collapsed="false">
      <c r="A52" s="7" t="s">
        <v>238</v>
      </c>
      <c r="B52" s="7" t="s">
        <v>239</v>
      </c>
      <c r="C52" s="7" t="s">
        <v>240</v>
      </c>
      <c r="D52" s="7" t="s">
        <v>233</v>
      </c>
      <c r="E52" s="7" t="n">
        <v>2030</v>
      </c>
      <c r="F52" s="8" t="n">
        <v>383</v>
      </c>
      <c r="G52" s="9" t="n">
        <v>1276</v>
      </c>
      <c r="H52" s="10" t="n">
        <v>3190</v>
      </c>
    </row>
    <row r="53" customFormat="false" ht="15" hidden="false" customHeight="false" outlineLevel="0" collapsed="false">
      <c r="A53" s="7" t="s">
        <v>238</v>
      </c>
      <c r="B53" s="7" t="s">
        <v>239</v>
      </c>
      <c r="C53" s="7" t="s">
        <v>240</v>
      </c>
      <c r="D53" s="7" t="s">
        <v>234</v>
      </c>
      <c r="E53" s="7" t="n">
        <v>2025</v>
      </c>
      <c r="F53" s="8" t="n">
        <v>660</v>
      </c>
      <c r="G53" s="9" t="n">
        <v>2200</v>
      </c>
      <c r="H53" s="10" t="n">
        <v>5500</v>
      </c>
    </row>
    <row r="54" customFormat="false" ht="15" hidden="false" customHeight="false" outlineLevel="0" collapsed="false">
      <c r="A54" s="7" t="s">
        <v>238</v>
      </c>
      <c r="B54" s="7" t="s">
        <v>239</v>
      </c>
      <c r="C54" s="7" t="s">
        <v>240</v>
      </c>
      <c r="D54" s="7" t="s">
        <v>234</v>
      </c>
      <c r="E54" s="7" t="n">
        <v>2026</v>
      </c>
      <c r="F54" s="8" t="n">
        <v>561</v>
      </c>
      <c r="G54" s="9" t="n">
        <v>1870</v>
      </c>
      <c r="H54" s="10" t="n">
        <v>4675</v>
      </c>
    </row>
    <row r="55" customFormat="false" ht="15" hidden="false" customHeight="false" outlineLevel="0" collapsed="false">
      <c r="A55" s="7" t="s">
        <v>238</v>
      </c>
      <c r="B55" s="7" t="s">
        <v>239</v>
      </c>
      <c r="C55" s="7" t="s">
        <v>240</v>
      </c>
      <c r="D55" s="7" t="s">
        <v>234</v>
      </c>
      <c r="E55" s="7" t="n">
        <v>2027</v>
      </c>
      <c r="F55" s="8" t="n">
        <v>449</v>
      </c>
      <c r="G55" s="9" t="n">
        <v>1496</v>
      </c>
      <c r="H55" s="10" t="n">
        <v>3740</v>
      </c>
    </row>
    <row r="56" customFormat="false" ht="15" hidden="false" customHeight="false" outlineLevel="0" collapsed="false">
      <c r="A56" s="7" t="s">
        <v>238</v>
      </c>
      <c r="B56" s="7" t="s">
        <v>239</v>
      </c>
      <c r="C56" s="7" t="s">
        <v>240</v>
      </c>
      <c r="D56" s="7" t="s">
        <v>234</v>
      </c>
      <c r="E56" s="7" t="n">
        <v>2028</v>
      </c>
      <c r="F56" s="8" t="n">
        <v>337</v>
      </c>
      <c r="G56" s="9" t="n">
        <v>1122</v>
      </c>
      <c r="H56" s="10" t="n">
        <v>2805</v>
      </c>
    </row>
    <row r="57" customFormat="false" ht="15" hidden="false" customHeight="false" outlineLevel="0" collapsed="false">
      <c r="A57" s="7" t="s">
        <v>238</v>
      </c>
      <c r="B57" s="7" t="s">
        <v>239</v>
      </c>
      <c r="C57" s="7" t="s">
        <v>240</v>
      </c>
      <c r="D57" s="7" t="s">
        <v>234</v>
      </c>
      <c r="E57" s="7" t="n">
        <v>2029</v>
      </c>
      <c r="F57" s="8" t="n">
        <v>238</v>
      </c>
      <c r="G57" s="9" t="n">
        <v>792</v>
      </c>
      <c r="H57" s="10" t="n">
        <v>1980</v>
      </c>
    </row>
    <row r="58" customFormat="false" ht="15" hidden="false" customHeight="false" outlineLevel="0" collapsed="false">
      <c r="A58" s="7" t="s">
        <v>238</v>
      </c>
      <c r="B58" s="7" t="s">
        <v>239</v>
      </c>
      <c r="C58" s="7" t="s">
        <v>240</v>
      </c>
      <c r="D58" s="7" t="s">
        <v>234</v>
      </c>
      <c r="E58" s="7" t="n">
        <v>2030</v>
      </c>
      <c r="F58" s="8" t="n">
        <v>152</v>
      </c>
      <c r="G58" s="9" t="n">
        <v>506</v>
      </c>
      <c r="H58" s="10" t="n">
        <v>1265</v>
      </c>
    </row>
    <row r="59" customFormat="false" ht="15" hidden="false" customHeight="false" outlineLevel="0" collapsed="false">
      <c r="A59" s="7" t="s">
        <v>241</v>
      </c>
      <c r="B59" s="7" t="s">
        <v>242</v>
      </c>
      <c r="C59" s="7" t="s">
        <v>240</v>
      </c>
      <c r="D59" s="7" t="s">
        <v>232</v>
      </c>
      <c r="E59" s="7" t="n">
        <v>2025</v>
      </c>
      <c r="F59" s="8" t="n">
        <v>75</v>
      </c>
      <c r="G59" s="9" t="n">
        <v>250</v>
      </c>
      <c r="H59" s="10" t="n">
        <v>625</v>
      </c>
    </row>
    <row r="60" customFormat="false" ht="15" hidden="false" customHeight="false" outlineLevel="0" collapsed="false">
      <c r="A60" s="7" t="s">
        <v>241</v>
      </c>
      <c r="B60" s="7" t="s">
        <v>242</v>
      </c>
      <c r="C60" s="7" t="s">
        <v>240</v>
      </c>
      <c r="D60" s="7" t="s">
        <v>232</v>
      </c>
      <c r="E60" s="7" t="n">
        <v>2026</v>
      </c>
      <c r="F60" s="8" t="n">
        <v>74</v>
      </c>
      <c r="G60" s="9" t="n">
        <v>248</v>
      </c>
      <c r="H60" s="10" t="n">
        <v>620</v>
      </c>
    </row>
    <row r="61" customFormat="false" ht="15" hidden="false" customHeight="false" outlineLevel="0" collapsed="false">
      <c r="A61" s="7" t="s">
        <v>241</v>
      </c>
      <c r="B61" s="7" t="s">
        <v>242</v>
      </c>
      <c r="C61" s="7" t="s">
        <v>240</v>
      </c>
      <c r="D61" s="7" t="s">
        <v>232</v>
      </c>
      <c r="E61" s="7" t="n">
        <v>2027</v>
      </c>
      <c r="F61" s="8" t="n">
        <v>74</v>
      </c>
      <c r="G61" s="9" t="n">
        <v>245</v>
      </c>
      <c r="H61" s="10" t="n">
        <v>612</v>
      </c>
    </row>
    <row r="62" customFormat="false" ht="15" hidden="false" customHeight="false" outlineLevel="0" collapsed="false">
      <c r="A62" s="7" t="s">
        <v>241</v>
      </c>
      <c r="B62" s="7" t="s">
        <v>242</v>
      </c>
      <c r="C62" s="7" t="s">
        <v>240</v>
      </c>
      <c r="D62" s="7" t="s">
        <v>232</v>
      </c>
      <c r="E62" s="7" t="n">
        <v>2028</v>
      </c>
      <c r="F62" s="8" t="n">
        <v>73</v>
      </c>
      <c r="G62" s="9" t="n">
        <v>242</v>
      </c>
      <c r="H62" s="10" t="n">
        <v>605</v>
      </c>
    </row>
    <row r="63" customFormat="false" ht="15" hidden="false" customHeight="false" outlineLevel="0" collapsed="false">
      <c r="A63" s="7" t="s">
        <v>241</v>
      </c>
      <c r="B63" s="7" t="s">
        <v>242</v>
      </c>
      <c r="C63" s="7" t="s">
        <v>240</v>
      </c>
      <c r="D63" s="7" t="s">
        <v>232</v>
      </c>
      <c r="E63" s="7" t="n">
        <v>2029</v>
      </c>
      <c r="F63" s="8" t="n">
        <v>72</v>
      </c>
      <c r="G63" s="9" t="n">
        <v>240</v>
      </c>
      <c r="H63" s="10" t="n">
        <v>600</v>
      </c>
    </row>
    <row r="64" customFormat="false" ht="15" hidden="false" customHeight="false" outlineLevel="0" collapsed="false">
      <c r="A64" s="7" t="s">
        <v>241</v>
      </c>
      <c r="B64" s="7" t="s">
        <v>242</v>
      </c>
      <c r="C64" s="7" t="s">
        <v>240</v>
      </c>
      <c r="D64" s="7" t="s">
        <v>232</v>
      </c>
      <c r="E64" s="7" t="n">
        <v>2030</v>
      </c>
      <c r="F64" s="8" t="n">
        <v>71</v>
      </c>
      <c r="G64" s="9" t="n">
        <v>238</v>
      </c>
      <c r="H64" s="10" t="n">
        <v>595</v>
      </c>
    </row>
    <row r="65" customFormat="false" ht="15" hidden="false" customHeight="false" outlineLevel="0" collapsed="false">
      <c r="A65" s="7" t="s">
        <v>241</v>
      </c>
      <c r="B65" s="7" t="s">
        <v>242</v>
      </c>
      <c r="C65" s="7" t="s">
        <v>240</v>
      </c>
      <c r="D65" s="7" t="s">
        <v>233</v>
      </c>
      <c r="E65" s="7" t="n">
        <v>2025</v>
      </c>
      <c r="F65" s="8" t="n">
        <v>75</v>
      </c>
      <c r="G65" s="9" t="n">
        <v>250</v>
      </c>
      <c r="H65" s="10" t="n">
        <v>625</v>
      </c>
    </row>
    <row r="66" customFormat="false" ht="15" hidden="false" customHeight="false" outlineLevel="0" collapsed="false">
      <c r="A66" s="7" t="s">
        <v>241</v>
      </c>
      <c r="B66" s="7" t="s">
        <v>242</v>
      </c>
      <c r="C66" s="7" t="s">
        <v>240</v>
      </c>
      <c r="D66" s="7" t="s">
        <v>233</v>
      </c>
      <c r="E66" s="7" t="n">
        <v>2026</v>
      </c>
      <c r="F66" s="8" t="n">
        <v>70</v>
      </c>
      <c r="G66" s="9" t="n">
        <v>235</v>
      </c>
      <c r="H66" s="10" t="n">
        <v>588</v>
      </c>
    </row>
    <row r="67" customFormat="false" ht="15" hidden="false" customHeight="false" outlineLevel="0" collapsed="false">
      <c r="A67" s="7" t="s">
        <v>241</v>
      </c>
      <c r="B67" s="7" t="s">
        <v>242</v>
      </c>
      <c r="C67" s="7" t="s">
        <v>240</v>
      </c>
      <c r="D67" s="7" t="s">
        <v>233</v>
      </c>
      <c r="E67" s="7" t="n">
        <v>2027</v>
      </c>
      <c r="F67" s="8" t="n">
        <v>64</v>
      </c>
      <c r="G67" s="9" t="n">
        <v>215</v>
      </c>
      <c r="H67" s="10" t="n">
        <v>538</v>
      </c>
    </row>
    <row r="68" customFormat="false" ht="15" hidden="false" customHeight="false" outlineLevel="0" collapsed="false">
      <c r="A68" s="7" t="s">
        <v>241</v>
      </c>
      <c r="B68" s="7" t="s">
        <v>242</v>
      </c>
      <c r="C68" s="7" t="s">
        <v>240</v>
      </c>
      <c r="D68" s="7" t="s">
        <v>233</v>
      </c>
      <c r="E68" s="7" t="n">
        <v>2028</v>
      </c>
      <c r="F68" s="8" t="n">
        <v>58</v>
      </c>
      <c r="G68" s="9" t="n">
        <v>192</v>
      </c>
      <c r="H68" s="10" t="n">
        <v>480</v>
      </c>
    </row>
    <row r="69" customFormat="false" ht="15" hidden="false" customHeight="false" outlineLevel="0" collapsed="false">
      <c r="A69" s="7" t="s">
        <v>241</v>
      </c>
      <c r="B69" s="7" t="s">
        <v>242</v>
      </c>
      <c r="C69" s="7" t="s">
        <v>240</v>
      </c>
      <c r="D69" s="7" t="s">
        <v>233</v>
      </c>
      <c r="E69" s="7" t="n">
        <v>2029</v>
      </c>
      <c r="F69" s="8" t="n">
        <v>51</v>
      </c>
      <c r="G69" s="9" t="n">
        <v>170</v>
      </c>
      <c r="H69" s="10" t="n">
        <v>425</v>
      </c>
    </row>
    <row r="70" customFormat="false" ht="15" hidden="false" customHeight="false" outlineLevel="0" collapsed="false">
      <c r="A70" s="7" t="s">
        <v>241</v>
      </c>
      <c r="B70" s="7" t="s">
        <v>242</v>
      </c>
      <c r="C70" s="7" t="s">
        <v>240</v>
      </c>
      <c r="D70" s="7" t="s">
        <v>233</v>
      </c>
      <c r="E70" s="7" t="n">
        <v>2030</v>
      </c>
      <c r="F70" s="8" t="n">
        <v>44</v>
      </c>
      <c r="G70" s="9" t="n">
        <v>145</v>
      </c>
      <c r="H70" s="10" t="n">
        <v>362</v>
      </c>
    </row>
    <row r="71" customFormat="false" ht="15" hidden="false" customHeight="false" outlineLevel="0" collapsed="false">
      <c r="A71" s="7" t="s">
        <v>241</v>
      </c>
      <c r="B71" s="7" t="s">
        <v>242</v>
      </c>
      <c r="C71" s="7" t="s">
        <v>240</v>
      </c>
      <c r="D71" s="7" t="s">
        <v>234</v>
      </c>
      <c r="E71" s="7" t="n">
        <v>2025</v>
      </c>
      <c r="F71" s="8" t="n">
        <v>75</v>
      </c>
      <c r="G71" s="9" t="n">
        <v>250</v>
      </c>
      <c r="H71" s="10" t="n">
        <v>625</v>
      </c>
    </row>
    <row r="72" customFormat="false" ht="15" hidden="false" customHeight="false" outlineLevel="0" collapsed="false">
      <c r="A72" s="7" t="s">
        <v>241</v>
      </c>
      <c r="B72" s="7" t="s">
        <v>242</v>
      </c>
      <c r="C72" s="7" t="s">
        <v>240</v>
      </c>
      <c r="D72" s="7" t="s">
        <v>234</v>
      </c>
      <c r="E72" s="7" t="n">
        <v>2026</v>
      </c>
      <c r="F72" s="8" t="n">
        <v>64</v>
      </c>
      <c r="G72" s="9" t="n">
        <v>212</v>
      </c>
      <c r="H72" s="10" t="n">
        <v>530</v>
      </c>
    </row>
    <row r="73" customFormat="false" ht="15" hidden="false" customHeight="false" outlineLevel="0" collapsed="false">
      <c r="A73" s="7" t="s">
        <v>241</v>
      </c>
      <c r="B73" s="7" t="s">
        <v>242</v>
      </c>
      <c r="C73" s="7" t="s">
        <v>240</v>
      </c>
      <c r="D73" s="7" t="s">
        <v>234</v>
      </c>
      <c r="E73" s="7" t="n">
        <v>2027</v>
      </c>
      <c r="F73" s="8" t="n">
        <v>51</v>
      </c>
      <c r="G73" s="9" t="n">
        <v>170</v>
      </c>
      <c r="H73" s="10" t="n">
        <v>425</v>
      </c>
    </row>
    <row r="74" customFormat="false" ht="15" hidden="false" customHeight="false" outlineLevel="0" collapsed="false">
      <c r="A74" s="7" t="s">
        <v>241</v>
      </c>
      <c r="B74" s="7" t="s">
        <v>242</v>
      </c>
      <c r="C74" s="7" t="s">
        <v>240</v>
      </c>
      <c r="D74" s="7" t="s">
        <v>234</v>
      </c>
      <c r="E74" s="7" t="n">
        <v>2028</v>
      </c>
      <c r="F74" s="8" t="n">
        <v>38</v>
      </c>
      <c r="G74" s="9" t="n">
        <v>128</v>
      </c>
      <c r="H74" s="10" t="n">
        <v>320</v>
      </c>
    </row>
    <row r="75" customFormat="false" ht="15" hidden="false" customHeight="false" outlineLevel="0" collapsed="false">
      <c r="A75" s="7" t="s">
        <v>241</v>
      </c>
      <c r="B75" s="7" t="s">
        <v>242</v>
      </c>
      <c r="C75" s="7" t="s">
        <v>240</v>
      </c>
      <c r="D75" s="7" t="s">
        <v>234</v>
      </c>
      <c r="E75" s="7" t="n">
        <v>2029</v>
      </c>
      <c r="F75" s="8" t="n">
        <v>27</v>
      </c>
      <c r="G75" s="9" t="n">
        <v>90</v>
      </c>
      <c r="H75" s="10" t="n">
        <v>225</v>
      </c>
    </row>
    <row r="76" customFormat="false" ht="15" hidden="false" customHeight="false" outlineLevel="0" collapsed="false">
      <c r="A76" s="7" t="s">
        <v>241</v>
      </c>
      <c r="B76" s="7" t="s">
        <v>242</v>
      </c>
      <c r="C76" s="7" t="s">
        <v>240</v>
      </c>
      <c r="D76" s="7" t="s">
        <v>234</v>
      </c>
      <c r="E76" s="7" t="n">
        <v>2030</v>
      </c>
      <c r="F76" s="8" t="n">
        <v>17</v>
      </c>
      <c r="G76" s="9" t="n">
        <v>58</v>
      </c>
      <c r="H76" s="10" t="n">
        <v>145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245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246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246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246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246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246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246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246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246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246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246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246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246</v>
      </c>
      <c r="C16" s="7" t="s">
        <v>80</v>
      </c>
      <c r="D16" s="7" t="s">
        <v>81</v>
      </c>
      <c r="E16" s="7" t="s">
        <v>64</v>
      </c>
    </row>
    <row r="17" customFormat="false" ht="15" hidden="false" customHeight="false" outlineLevel="0" collapsed="false">
      <c r="A17" s="7" t="s">
        <v>83</v>
      </c>
      <c r="B17" s="7" t="s">
        <v>246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246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246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246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246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246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246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246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246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246</v>
      </c>
      <c r="C26" s="7" t="s">
        <v>114</v>
      </c>
      <c r="D26" s="7" t="s">
        <v>81</v>
      </c>
      <c r="E26" s="7" t="s">
        <v>64</v>
      </c>
    </row>
    <row r="27" customFormat="false" ht="15" hidden="false" customHeight="false" outlineLevel="0" collapsed="false">
      <c r="A27" s="7" t="s">
        <v>115</v>
      </c>
      <c r="B27" s="7" t="s">
        <v>246</v>
      </c>
      <c r="C27" s="7" t="s">
        <v>116</v>
      </c>
      <c r="D27" s="7" t="s">
        <v>81</v>
      </c>
      <c r="E27" s="7" t="s">
        <v>64</v>
      </c>
    </row>
    <row r="28" customFormat="false" ht="15" hidden="false" customHeight="false" outlineLevel="0" collapsed="false">
      <c r="A28" s="7" t="s">
        <v>117</v>
      </c>
      <c r="B28" s="7" t="s">
        <v>246</v>
      </c>
      <c r="C28" s="7" t="s">
        <v>118</v>
      </c>
      <c r="D28" s="7" t="s">
        <v>81</v>
      </c>
      <c r="E28" s="7" t="s">
        <v>64</v>
      </c>
    </row>
    <row r="29" customFormat="false" ht="15" hidden="false" customHeight="false" outlineLevel="0" collapsed="false">
      <c r="A29" s="7" t="s">
        <v>119</v>
      </c>
      <c r="B29" s="7" t="s">
        <v>246</v>
      </c>
      <c r="C29" s="7" t="s">
        <v>120</v>
      </c>
      <c r="D29" s="7" t="s">
        <v>81</v>
      </c>
      <c r="E29" s="7" t="s">
        <v>64</v>
      </c>
    </row>
    <row r="30" customFormat="false" ht="15" hidden="false" customHeight="false" outlineLevel="0" collapsed="false">
      <c r="A30" s="7" t="s">
        <v>121</v>
      </c>
      <c r="B30" s="7" t="s">
        <v>246</v>
      </c>
      <c r="C30" s="7" t="s">
        <v>122</v>
      </c>
      <c r="D30" s="7" t="s">
        <v>81</v>
      </c>
      <c r="E30" s="7" t="s">
        <v>64</v>
      </c>
    </row>
    <row r="31" customFormat="false" ht="15" hidden="false" customHeight="false" outlineLevel="0" collapsed="false">
      <c r="A31" s="7" t="s">
        <v>123</v>
      </c>
      <c r="B31" s="7" t="s">
        <v>246</v>
      </c>
      <c r="C31" s="7" t="s">
        <v>124</v>
      </c>
      <c r="D31" s="7" t="s">
        <v>109</v>
      </c>
      <c r="E31" s="7" t="s">
        <v>71</v>
      </c>
    </row>
    <row r="32" customFormat="false" ht="15" hidden="false" customHeight="false" outlineLevel="0" collapsed="false">
      <c r="A32" s="7" t="s">
        <v>125</v>
      </c>
      <c r="B32" s="7" t="s">
        <v>246</v>
      </c>
      <c r="C32" s="7" t="s">
        <v>126</v>
      </c>
      <c r="D32" s="7" t="s">
        <v>109</v>
      </c>
      <c r="E32" s="7" t="s">
        <v>71</v>
      </c>
    </row>
    <row r="33" customFormat="false" ht="15" hidden="false" customHeight="false" outlineLevel="0" collapsed="false">
      <c r="A33" s="7" t="s">
        <v>129</v>
      </c>
      <c r="B33" s="7" t="s">
        <v>247</v>
      </c>
      <c r="C33" s="7" t="s">
        <v>130</v>
      </c>
      <c r="D33" s="7" t="s">
        <v>131</v>
      </c>
      <c r="E33" s="7" t="s">
        <v>71</v>
      </c>
    </row>
    <row r="34" customFormat="false" ht="15" hidden="false" customHeight="false" outlineLevel="0" collapsed="false">
      <c r="A34" s="7" t="s">
        <v>132</v>
      </c>
      <c r="B34" s="7" t="s">
        <v>247</v>
      </c>
      <c r="C34" s="7" t="s">
        <v>133</v>
      </c>
      <c r="D34" s="7" t="s">
        <v>131</v>
      </c>
      <c r="E34" s="7" t="s">
        <v>64</v>
      </c>
    </row>
    <row r="35" customFormat="false" ht="15" hidden="false" customHeight="false" outlineLevel="0" collapsed="false">
      <c r="A35" s="7" t="s">
        <v>134</v>
      </c>
      <c r="B35" s="7" t="s">
        <v>247</v>
      </c>
      <c r="C35" s="7" t="s">
        <v>135</v>
      </c>
      <c r="D35" s="7" t="s">
        <v>136</v>
      </c>
      <c r="E35" s="7" t="s">
        <v>71</v>
      </c>
    </row>
    <row r="36" customFormat="false" ht="15" hidden="false" customHeight="false" outlineLevel="0" collapsed="false">
      <c r="A36" s="7" t="s">
        <v>137</v>
      </c>
      <c r="B36" s="7" t="s">
        <v>247</v>
      </c>
      <c r="C36" s="7" t="s">
        <v>138</v>
      </c>
      <c r="D36" s="7" t="s">
        <v>139</v>
      </c>
      <c r="E36" s="7" t="s">
        <v>71</v>
      </c>
    </row>
    <row r="37" customFormat="false" ht="15" hidden="false" customHeight="false" outlineLevel="0" collapsed="false">
      <c r="A37" s="7" t="s">
        <v>140</v>
      </c>
      <c r="B37" s="7" t="s">
        <v>247</v>
      </c>
      <c r="C37" s="7" t="s">
        <v>141</v>
      </c>
      <c r="D37" s="7" t="s">
        <v>142</v>
      </c>
      <c r="E37" s="7" t="s">
        <v>71</v>
      </c>
    </row>
    <row r="38" customFormat="false" ht="15" hidden="false" customHeight="false" outlineLevel="0" collapsed="false">
      <c r="A38" s="7" t="s">
        <v>143</v>
      </c>
      <c r="B38" s="7" t="s">
        <v>247</v>
      </c>
      <c r="C38" s="7" t="s">
        <v>144</v>
      </c>
      <c r="D38" s="7" t="s">
        <v>145</v>
      </c>
      <c r="E38" s="7" t="s">
        <v>71</v>
      </c>
    </row>
    <row r="39" customFormat="false" ht="15" hidden="false" customHeight="false" outlineLevel="0" collapsed="false">
      <c r="A39" s="7" t="s">
        <v>146</v>
      </c>
      <c r="B39" s="7" t="s">
        <v>247</v>
      </c>
      <c r="C39" s="7" t="s">
        <v>147</v>
      </c>
      <c r="D39" s="7" t="s">
        <v>148</v>
      </c>
      <c r="E39" s="7" t="s">
        <v>71</v>
      </c>
    </row>
    <row r="40" customFormat="false" ht="15" hidden="false" customHeight="false" outlineLevel="0" collapsed="false">
      <c r="A40" s="7" t="s">
        <v>149</v>
      </c>
      <c r="B40" s="7" t="s">
        <v>247</v>
      </c>
      <c r="C40" s="7" t="s">
        <v>150</v>
      </c>
      <c r="D40" s="7" t="s">
        <v>95</v>
      </c>
      <c r="E40" s="7" t="s">
        <v>96</v>
      </c>
    </row>
    <row r="41" customFormat="false" ht="15" hidden="false" customHeight="false" outlineLevel="0" collapsed="false">
      <c r="A41" s="7" t="s">
        <v>151</v>
      </c>
      <c r="B41" s="7" t="s">
        <v>247</v>
      </c>
      <c r="C41" s="7" t="s">
        <v>152</v>
      </c>
      <c r="D41" s="7" t="s">
        <v>153</v>
      </c>
      <c r="E41" s="7" t="s">
        <v>71</v>
      </c>
    </row>
    <row r="42" customFormat="false" ht="15" hidden="false" customHeight="false" outlineLevel="0" collapsed="false">
      <c r="A42" s="7" t="s">
        <v>154</v>
      </c>
      <c r="B42" s="7" t="s">
        <v>247</v>
      </c>
      <c r="C42" s="7" t="s">
        <v>155</v>
      </c>
      <c r="D42" s="7" t="s">
        <v>156</v>
      </c>
      <c r="E42" s="7" t="s">
        <v>71</v>
      </c>
    </row>
    <row r="43" customFormat="false" ht="15" hidden="false" customHeight="false" outlineLevel="0" collapsed="false">
      <c r="A43" s="7" t="s">
        <v>165</v>
      </c>
      <c r="B43" s="7" t="s">
        <v>248</v>
      </c>
      <c r="C43" s="7" t="s">
        <v>166</v>
      </c>
      <c r="D43" s="7" t="s">
        <v>45</v>
      </c>
      <c r="E43" s="7" t="s">
        <v>249</v>
      </c>
    </row>
    <row r="44" customFormat="false" ht="15" hidden="false" customHeight="false" outlineLevel="0" collapsed="false">
      <c r="A44" s="7" t="s">
        <v>172</v>
      </c>
      <c r="B44" s="7" t="s">
        <v>248</v>
      </c>
      <c r="C44" s="7" t="s">
        <v>173</v>
      </c>
      <c r="D44" s="7" t="s">
        <v>45</v>
      </c>
      <c r="E44" s="7" t="s">
        <v>249</v>
      </c>
    </row>
    <row r="45" customFormat="false" ht="15" hidden="false" customHeight="false" outlineLevel="0" collapsed="false">
      <c r="A45" s="7" t="s">
        <v>179</v>
      </c>
      <c r="B45" s="7" t="s">
        <v>248</v>
      </c>
      <c r="C45" s="7" t="s">
        <v>180</v>
      </c>
      <c r="D45" s="7" t="s">
        <v>45</v>
      </c>
      <c r="E45" s="7" t="s">
        <v>249</v>
      </c>
    </row>
    <row r="46" customFormat="false" ht="15" hidden="false" customHeight="false" outlineLevel="0" collapsed="false">
      <c r="A46" s="7" t="s">
        <v>184</v>
      </c>
      <c r="B46" s="7" t="s">
        <v>248</v>
      </c>
      <c r="C46" s="7" t="s">
        <v>185</v>
      </c>
      <c r="D46" s="7" t="s">
        <v>45</v>
      </c>
      <c r="E46" s="7" t="s">
        <v>249</v>
      </c>
    </row>
    <row r="47" customFormat="false" ht="15" hidden="false" customHeight="false" outlineLevel="0" collapsed="false">
      <c r="A47" s="7" t="s">
        <v>190</v>
      </c>
      <c r="B47" s="7" t="s">
        <v>248</v>
      </c>
      <c r="C47" s="7" t="s">
        <v>191</v>
      </c>
      <c r="D47" s="7" t="s">
        <v>45</v>
      </c>
      <c r="E47" s="7" t="s">
        <v>249</v>
      </c>
    </row>
    <row r="48" customFormat="false" ht="15" hidden="false" customHeight="false" outlineLevel="0" collapsed="false">
      <c r="A48" s="7" t="s">
        <v>196</v>
      </c>
      <c r="B48" s="7" t="s">
        <v>248</v>
      </c>
      <c r="C48" s="7" t="s">
        <v>197</v>
      </c>
      <c r="D48" s="7" t="s">
        <v>45</v>
      </c>
      <c r="E48" s="7" t="s">
        <v>249</v>
      </c>
    </row>
    <row r="49" customFormat="false" ht="15" hidden="false" customHeight="false" outlineLevel="0" collapsed="false">
      <c r="A49" s="7" t="s">
        <v>200</v>
      </c>
      <c r="B49" s="7" t="s">
        <v>248</v>
      </c>
      <c r="C49" s="7" t="s">
        <v>201</v>
      </c>
      <c r="D49" s="7" t="s">
        <v>45</v>
      </c>
      <c r="E49" s="7" t="s">
        <v>249</v>
      </c>
    </row>
    <row r="50" customFormat="false" ht="15" hidden="false" customHeight="false" outlineLevel="0" collapsed="false">
      <c r="A50" s="7" t="s">
        <v>205</v>
      </c>
      <c r="B50" s="7" t="s">
        <v>248</v>
      </c>
      <c r="C50" s="7" t="s">
        <v>206</v>
      </c>
      <c r="D50" s="7" t="s">
        <v>45</v>
      </c>
      <c r="E50" s="7" t="s">
        <v>249</v>
      </c>
    </row>
    <row r="51" customFormat="false" ht="15" hidden="false" customHeight="false" outlineLevel="0" collapsed="false">
      <c r="A51" s="7" t="s">
        <v>208</v>
      </c>
      <c r="B51" s="7" t="s">
        <v>248</v>
      </c>
      <c r="C51" s="7" t="s">
        <v>209</v>
      </c>
      <c r="D51" s="7" t="s">
        <v>45</v>
      </c>
      <c r="E51" s="7" t="s">
        <v>249</v>
      </c>
    </row>
    <row r="52" customFormat="false" ht="15" hidden="false" customHeight="false" outlineLevel="0" collapsed="false">
      <c r="A52" s="7" t="s">
        <v>212</v>
      </c>
      <c r="B52" s="7" t="s">
        <v>248</v>
      </c>
      <c r="C52" s="7" t="s">
        <v>213</v>
      </c>
      <c r="D52" s="7" t="s">
        <v>45</v>
      </c>
      <c r="E52" s="7" t="s">
        <v>249</v>
      </c>
    </row>
    <row r="53" customFormat="false" ht="15" hidden="false" customHeight="false" outlineLevel="0" collapsed="false">
      <c r="A53" s="7" t="s">
        <v>215</v>
      </c>
      <c r="B53" s="7" t="s">
        <v>248</v>
      </c>
      <c r="C53" s="7" t="s">
        <v>216</v>
      </c>
      <c r="D53" s="7" t="s">
        <v>45</v>
      </c>
      <c r="E53" s="7" t="s">
        <v>249</v>
      </c>
    </row>
    <row r="54" customFormat="false" ht="15" hidden="false" customHeight="false" outlineLevel="0" collapsed="false">
      <c r="A54" s="7" t="s">
        <v>217</v>
      </c>
      <c r="B54" s="7" t="s">
        <v>248</v>
      </c>
      <c r="C54" s="7" t="s">
        <v>218</v>
      </c>
      <c r="D54" s="7" t="s">
        <v>45</v>
      </c>
      <c r="E54" s="7" t="s">
        <v>249</v>
      </c>
    </row>
    <row r="55" customFormat="false" ht="15" hidden="false" customHeight="false" outlineLevel="0" collapsed="false">
      <c r="A55" s="7" t="s">
        <v>219</v>
      </c>
      <c r="B55" s="7" t="s">
        <v>248</v>
      </c>
      <c r="C55" s="7" t="s">
        <v>220</v>
      </c>
      <c r="D55" s="7" t="s">
        <v>45</v>
      </c>
      <c r="E55" s="7" t="s">
        <v>249</v>
      </c>
    </row>
    <row r="56" customFormat="false" ht="23.85" hidden="false" customHeight="false" outlineLevel="0" collapsed="false">
      <c r="A56" s="7" t="s">
        <v>229</v>
      </c>
      <c r="B56" s="7" t="s">
        <v>250</v>
      </c>
      <c r="C56" s="7" t="s">
        <v>230</v>
      </c>
      <c r="D56" s="7" t="s">
        <v>251</v>
      </c>
      <c r="E56" s="7" t="s">
        <v>252</v>
      </c>
    </row>
    <row r="57" customFormat="false" ht="23.85" hidden="false" customHeight="false" outlineLevel="0" collapsed="false">
      <c r="A57" s="7" t="s">
        <v>235</v>
      </c>
      <c r="B57" s="7" t="s">
        <v>250</v>
      </c>
      <c r="C57" s="7" t="s">
        <v>236</v>
      </c>
      <c r="D57" s="7" t="s">
        <v>251</v>
      </c>
      <c r="E57" s="7" t="s">
        <v>252</v>
      </c>
    </row>
    <row r="58" customFormat="false" ht="23.85" hidden="false" customHeight="false" outlineLevel="0" collapsed="false">
      <c r="A58" s="7" t="s">
        <v>238</v>
      </c>
      <c r="B58" s="7" t="s">
        <v>250</v>
      </c>
      <c r="C58" s="7" t="s">
        <v>239</v>
      </c>
      <c r="D58" s="7" t="s">
        <v>251</v>
      </c>
      <c r="E58" s="7" t="s">
        <v>252</v>
      </c>
    </row>
    <row r="59" customFormat="false" ht="23.85" hidden="false" customHeight="false" outlineLevel="0" collapsed="false">
      <c r="A59" s="7" t="s">
        <v>241</v>
      </c>
      <c r="B59" s="7" t="s">
        <v>250</v>
      </c>
      <c r="C59" s="7" t="s">
        <v>242</v>
      </c>
      <c r="D59" s="7" t="s">
        <v>251</v>
      </c>
      <c r="E59" s="7" t="s">
        <v>252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